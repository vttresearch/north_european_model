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3F45E92C-86C8-4B70-9AB1-CD7224539AE8}" xr6:coauthVersionLast="47" xr6:coauthVersionMax="47" xr10:uidLastSave="{00000000-0000-0000-0000-000000000000}"/>
  <bookViews>
    <workbookView xWindow="-120" yWindow="-120" windowWidth="29040" windowHeight="17520" tabRatio="801" firstSheet="6" activeTab="12" xr2:uid="{FFD27B4C-068C-4319-9C46-FFCA72C83648}"/>
  </bookViews>
  <sheets>
    <sheet name="vomcost mult" sheetId="20" r:id="rId1"/>
    <sheet name="VRE-NT2030" sheetId="7" r:id="rId2"/>
    <sheet name="wind" sheetId="2" r:id="rId3"/>
    <sheet name="onshore" sheetId="5" r:id="rId4"/>
    <sheet name="offshore" sheetId="4" r:id="rId5"/>
    <sheet name="PV" sheetId="3" r:id="rId6"/>
    <sheet name="VRE summary" sheetId="6" r:id="rId7"/>
    <sheet name="unitdata_VRE" sheetId="8" r:id="rId8"/>
    <sheet name="battery cap eurostat" sheetId="9" r:id="rId9"/>
    <sheet name="battery scen SPE" sheetId="11" r:id="rId10"/>
    <sheet name="battery summary" sheetId="13" r:id="rId11"/>
    <sheet name="unitdata_battery" sheetId="12" r:id="rId12"/>
    <sheet name="unitdata_nuclearThermal" sheetId="18" r:id="rId13"/>
    <sheet name="unitdata_demandRed" sheetId="19" r:id="rId14"/>
    <sheet name="transferdata" sheetId="15" r:id="rId15"/>
    <sheet name="emissiondata" sheetId="16" r:id="rId16"/>
    <sheet name="nodedata" sheetId="17" r:id="rId17"/>
  </sheets>
  <externalReferences>
    <externalReference r:id="rId18"/>
    <externalReference r:id="rId19"/>
  </externalReferences>
  <definedNames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8" l="1"/>
  <c r="F95" i="18" s="1"/>
  <c r="M6" i="18"/>
  <c r="F26" i="18" s="1"/>
  <c r="V27" i="19"/>
  <c r="V26" i="19"/>
  <c r="V25" i="19"/>
  <c r="V24" i="19"/>
  <c r="F21" i="19" s="1"/>
  <c r="V23" i="19"/>
  <c r="F20" i="19" s="1"/>
  <c r="V22" i="19"/>
  <c r="V21" i="19"/>
  <c r="F18" i="19" s="1"/>
  <c r="V20" i="19"/>
  <c r="V19" i="19"/>
  <c r="V18" i="19"/>
  <c r="V17" i="19"/>
  <c r="F14" i="19" s="1"/>
  <c r="V16" i="19"/>
  <c r="F13" i="19" s="1"/>
  <c r="V15" i="19"/>
  <c r="F12" i="19" s="1"/>
  <c r="V14" i="19"/>
  <c r="V13" i="19"/>
  <c r="V12" i="19"/>
  <c r="V11" i="19"/>
  <c r="F8" i="19" s="1"/>
  <c r="V10" i="19"/>
  <c r="F7" i="19" s="1"/>
  <c r="V9" i="19"/>
  <c r="F6" i="19" s="1"/>
  <c r="V8" i="19"/>
  <c r="V7" i="19"/>
  <c r="V6" i="19"/>
  <c r="F9" i="19"/>
  <c r="F10" i="19"/>
  <c r="F11" i="19"/>
  <c r="F15" i="19"/>
  <c r="F22" i="19"/>
  <c r="F23" i="19"/>
  <c r="F24" i="19"/>
  <c r="F3" i="19"/>
  <c r="M93" i="15"/>
  <c r="M92" i="15"/>
  <c r="M91" i="15"/>
  <c r="M90" i="15"/>
  <c r="M89" i="15"/>
  <c r="M88" i="15"/>
  <c r="M87" i="15"/>
  <c r="M86" i="15"/>
  <c r="M85" i="15"/>
  <c r="G85" i="15" s="1"/>
  <c r="M84" i="15"/>
  <c r="G84" i="15" s="1"/>
  <c r="M83" i="15"/>
  <c r="G83" i="15" s="1"/>
  <c r="M82" i="15"/>
  <c r="G82" i="15" s="1"/>
  <c r="M81" i="15"/>
  <c r="M80" i="15"/>
  <c r="M79" i="15"/>
  <c r="M78" i="15"/>
  <c r="M77" i="15"/>
  <c r="M76" i="15"/>
  <c r="M75" i="15"/>
  <c r="M74" i="15"/>
  <c r="M73" i="15"/>
  <c r="G73" i="15" s="1"/>
  <c r="M72" i="15"/>
  <c r="G72" i="15" s="1"/>
  <c r="M71" i="15"/>
  <c r="G71" i="15" s="1"/>
  <c r="M70" i="15"/>
  <c r="G70" i="15" s="1"/>
  <c r="M69" i="15"/>
  <c r="M68" i="15"/>
  <c r="M67" i="15"/>
  <c r="M66" i="15"/>
  <c r="M65" i="15"/>
  <c r="M64" i="15"/>
  <c r="M63" i="15"/>
  <c r="M62" i="15"/>
  <c r="M61" i="15"/>
  <c r="G61" i="15" s="1"/>
  <c r="M60" i="15"/>
  <c r="G60" i="15" s="1"/>
  <c r="M59" i="15"/>
  <c r="G59" i="15" s="1"/>
  <c r="M58" i="15"/>
  <c r="G58" i="15" s="1"/>
  <c r="M57" i="15"/>
  <c r="M56" i="15"/>
  <c r="M55" i="15"/>
  <c r="M54" i="15"/>
  <c r="M53" i="15"/>
  <c r="M52" i="15"/>
  <c r="M51" i="15"/>
  <c r="M50" i="15"/>
  <c r="M49" i="15"/>
  <c r="G49" i="15" s="1"/>
  <c r="M48" i="15"/>
  <c r="G48" i="15" s="1"/>
  <c r="M47" i="15"/>
  <c r="G47" i="15" s="1"/>
  <c r="M46" i="15"/>
  <c r="G46" i="15" s="1"/>
  <c r="M45" i="15"/>
  <c r="M44" i="15"/>
  <c r="M43" i="15"/>
  <c r="M42" i="15"/>
  <c r="M41" i="15"/>
  <c r="M40" i="15"/>
  <c r="M39" i="15"/>
  <c r="M38" i="15"/>
  <c r="M37" i="15"/>
  <c r="G37" i="15" s="1"/>
  <c r="M36" i="15"/>
  <c r="G36" i="15" s="1"/>
  <c r="M35" i="15"/>
  <c r="G35" i="15" s="1"/>
  <c r="M34" i="15"/>
  <c r="G34" i="15" s="1"/>
  <c r="M33" i="15"/>
  <c r="M32" i="15"/>
  <c r="M31" i="15"/>
  <c r="M30" i="15"/>
  <c r="M29" i="15"/>
  <c r="M28" i="15"/>
  <c r="M27" i="15"/>
  <c r="M26" i="15"/>
  <c r="M25" i="15"/>
  <c r="G25" i="15" s="1"/>
  <c r="M24" i="15"/>
  <c r="G24" i="15" s="1"/>
  <c r="M23" i="15"/>
  <c r="G23" i="15" s="1"/>
  <c r="M22" i="15"/>
  <c r="G22" i="15" s="1"/>
  <c r="M21" i="15"/>
  <c r="M20" i="15"/>
  <c r="M19" i="15"/>
  <c r="M18" i="15"/>
  <c r="M17" i="15"/>
  <c r="M16" i="15"/>
  <c r="M15" i="15"/>
  <c r="M14" i="15"/>
  <c r="M13" i="15"/>
  <c r="G13" i="15" s="1"/>
  <c r="M12" i="15"/>
  <c r="G12" i="15" s="1"/>
  <c r="M11" i="15"/>
  <c r="G11" i="15" s="1"/>
  <c r="M10" i="15"/>
  <c r="G10" i="15" s="1"/>
  <c r="M9" i="15"/>
  <c r="M8" i="15"/>
  <c r="M7" i="15"/>
  <c r="M6" i="15"/>
  <c r="M5" i="15"/>
  <c r="M4" i="15"/>
  <c r="M3" i="15"/>
  <c r="M2" i="15"/>
  <c r="P3" i="15"/>
  <c r="Q3" i="15"/>
  <c r="P4" i="15"/>
  <c r="Q4" i="15"/>
  <c r="P5" i="15"/>
  <c r="Q5" i="15"/>
  <c r="P6" i="15"/>
  <c r="Q6" i="15"/>
  <c r="P7" i="15"/>
  <c r="Q7" i="15"/>
  <c r="P8" i="15"/>
  <c r="Q8" i="15"/>
  <c r="P9" i="15"/>
  <c r="Q9" i="15"/>
  <c r="P10" i="15"/>
  <c r="Q10" i="15"/>
  <c r="P11" i="15"/>
  <c r="Q11" i="15"/>
  <c r="P12" i="15"/>
  <c r="Q12" i="15"/>
  <c r="P13" i="15"/>
  <c r="Q13" i="15"/>
  <c r="P14" i="15"/>
  <c r="Q14" i="15"/>
  <c r="P15" i="15"/>
  <c r="Q15" i="15"/>
  <c r="P16" i="15"/>
  <c r="Q16" i="15"/>
  <c r="P17" i="15"/>
  <c r="Q17" i="15"/>
  <c r="P18" i="15"/>
  <c r="Q18" i="15"/>
  <c r="P19" i="15"/>
  <c r="Q19" i="15"/>
  <c r="P20" i="15"/>
  <c r="Q20" i="15"/>
  <c r="P21" i="15"/>
  <c r="Q21" i="15"/>
  <c r="P22" i="15"/>
  <c r="Q22" i="15"/>
  <c r="P23" i="15"/>
  <c r="Q23" i="15"/>
  <c r="P24" i="15"/>
  <c r="Q24" i="15"/>
  <c r="P25" i="15"/>
  <c r="Q25" i="15"/>
  <c r="P26" i="15"/>
  <c r="Q26" i="15"/>
  <c r="P27" i="15"/>
  <c r="Q27" i="15"/>
  <c r="P28" i="15"/>
  <c r="Q28" i="15"/>
  <c r="P29" i="15"/>
  <c r="Q29" i="15"/>
  <c r="P30" i="15"/>
  <c r="Q30" i="15"/>
  <c r="P31" i="15"/>
  <c r="Q31" i="15"/>
  <c r="P32" i="15"/>
  <c r="Q32" i="15"/>
  <c r="P33" i="15"/>
  <c r="Q33" i="15"/>
  <c r="P34" i="15"/>
  <c r="Q34" i="15"/>
  <c r="P35" i="15"/>
  <c r="Q35" i="15"/>
  <c r="P36" i="15"/>
  <c r="Q36" i="15"/>
  <c r="P37" i="15"/>
  <c r="Q37" i="15"/>
  <c r="P38" i="15"/>
  <c r="Q38" i="15"/>
  <c r="P39" i="15"/>
  <c r="Q39" i="15"/>
  <c r="P40" i="15"/>
  <c r="Q40" i="15"/>
  <c r="P41" i="15"/>
  <c r="Q41" i="15"/>
  <c r="P42" i="15"/>
  <c r="Q42" i="15"/>
  <c r="P43" i="15"/>
  <c r="Q43" i="15"/>
  <c r="P44" i="15"/>
  <c r="Q44" i="15"/>
  <c r="P45" i="15"/>
  <c r="Q45" i="15"/>
  <c r="P46" i="15"/>
  <c r="Q46" i="15"/>
  <c r="P47" i="15"/>
  <c r="Q47" i="15"/>
  <c r="P48" i="15"/>
  <c r="Q48" i="15"/>
  <c r="P49" i="15"/>
  <c r="Q49" i="15"/>
  <c r="P50" i="15"/>
  <c r="Q50" i="15"/>
  <c r="P51" i="15"/>
  <c r="Q51" i="15"/>
  <c r="P52" i="15"/>
  <c r="Q52" i="15"/>
  <c r="P53" i="15"/>
  <c r="Q53" i="15"/>
  <c r="P54" i="15"/>
  <c r="Q54" i="15"/>
  <c r="P55" i="15"/>
  <c r="Q55" i="15"/>
  <c r="P56" i="15"/>
  <c r="Q56" i="15"/>
  <c r="P57" i="15"/>
  <c r="Q57" i="15"/>
  <c r="P58" i="15"/>
  <c r="Q58" i="15"/>
  <c r="P59" i="15"/>
  <c r="Q59" i="15"/>
  <c r="P60" i="15"/>
  <c r="Q60" i="15"/>
  <c r="P61" i="15"/>
  <c r="Q61" i="15"/>
  <c r="P62" i="15"/>
  <c r="Q62" i="15"/>
  <c r="P63" i="15"/>
  <c r="Q63" i="15"/>
  <c r="P64" i="15"/>
  <c r="Q64" i="15"/>
  <c r="P65" i="15"/>
  <c r="Q65" i="15"/>
  <c r="P66" i="15"/>
  <c r="Q66" i="15"/>
  <c r="P67" i="15"/>
  <c r="Q67" i="15"/>
  <c r="P68" i="15"/>
  <c r="Q68" i="15"/>
  <c r="P69" i="15"/>
  <c r="Q69" i="15"/>
  <c r="P70" i="15"/>
  <c r="Q70" i="15"/>
  <c r="P71" i="15"/>
  <c r="Q71" i="15"/>
  <c r="P72" i="15"/>
  <c r="Q72" i="15"/>
  <c r="P73" i="15"/>
  <c r="Q73" i="15"/>
  <c r="P74" i="15"/>
  <c r="Q74" i="15"/>
  <c r="P75" i="15"/>
  <c r="Q75" i="15"/>
  <c r="P76" i="15"/>
  <c r="Q76" i="15"/>
  <c r="P77" i="15"/>
  <c r="Q77" i="15"/>
  <c r="P78" i="15"/>
  <c r="Q78" i="15"/>
  <c r="P79" i="15"/>
  <c r="Q79" i="15"/>
  <c r="P80" i="15"/>
  <c r="Q80" i="15"/>
  <c r="P81" i="15"/>
  <c r="Q81" i="15"/>
  <c r="P82" i="15"/>
  <c r="Q82" i="15"/>
  <c r="P83" i="15"/>
  <c r="Q83" i="15"/>
  <c r="P84" i="15"/>
  <c r="Q84" i="15"/>
  <c r="P85" i="15"/>
  <c r="Q85" i="15"/>
  <c r="P86" i="15"/>
  <c r="Q86" i="15"/>
  <c r="P87" i="15"/>
  <c r="Q87" i="15"/>
  <c r="P88" i="15"/>
  <c r="Q88" i="15"/>
  <c r="P89" i="15"/>
  <c r="Q89" i="15"/>
  <c r="P90" i="15"/>
  <c r="Q90" i="15"/>
  <c r="P91" i="15"/>
  <c r="Q91" i="15"/>
  <c r="P92" i="15"/>
  <c r="Q92" i="15"/>
  <c r="P93" i="15"/>
  <c r="Q93" i="15"/>
  <c r="Q2" i="15"/>
  <c r="P2" i="15"/>
  <c r="F4" i="19"/>
  <c r="F5" i="19"/>
  <c r="F16" i="19"/>
  <c r="F17" i="19"/>
  <c r="F19" i="19"/>
  <c r="F18" i="18"/>
  <c r="F20" i="18"/>
  <c r="F25" i="18"/>
  <c r="F52" i="18"/>
  <c r="F60" i="18"/>
  <c r="F68" i="18"/>
  <c r="F76" i="18"/>
  <c r="F79" i="18"/>
  <c r="F90" i="18"/>
  <c r="F104" i="18"/>
  <c r="F19" i="18"/>
  <c r="F21" i="18"/>
  <c r="F53" i="18"/>
  <c r="F61" i="18"/>
  <c r="F69" i="18"/>
  <c r="F80" i="18"/>
  <c r="F91" i="18"/>
  <c r="F105" i="18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11" i="20"/>
  <c r="O34" i="20"/>
  <c r="F76" i="20"/>
  <c r="E76" i="20"/>
  <c r="D76" i="20"/>
  <c r="C76" i="20"/>
  <c r="B76" i="20"/>
  <c r="F75" i="20"/>
  <c r="O32" i="20" s="1"/>
  <c r="E75" i="20"/>
  <c r="D75" i="20"/>
  <c r="C75" i="20"/>
  <c r="B75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11" i="20"/>
  <c r="M2" i="18"/>
  <c r="F12" i="18" s="1"/>
  <c r="M3" i="18"/>
  <c r="F3" i="18" s="1"/>
  <c r="M4" i="18"/>
  <c r="F94" i="18" s="1"/>
  <c r="M7" i="18"/>
  <c r="F77" i="18" s="1"/>
  <c r="M8" i="18"/>
  <c r="F78" i="18" s="1"/>
  <c r="M9" i="18"/>
  <c r="F29" i="18" s="1"/>
  <c r="M10" i="18"/>
  <c r="F15" i="18" s="1"/>
  <c r="M11" i="18"/>
  <c r="F38" i="18" s="1"/>
  <c r="M12" i="18"/>
  <c r="F16" i="18" s="1"/>
  <c r="M13" i="18"/>
  <c r="F17" i="18" s="1"/>
  <c r="M15" i="18"/>
  <c r="F41" i="18" s="1"/>
  <c r="M16" i="18"/>
  <c r="F49" i="18" s="1"/>
  <c r="M17" i="18"/>
  <c r="F50" i="18" s="1"/>
  <c r="M18" i="18"/>
  <c r="F82" i="18" s="1"/>
  <c r="M19" i="18"/>
  <c r="F84" i="18" s="1"/>
  <c r="M20" i="18"/>
  <c r="F85" i="18" s="1"/>
  <c r="M21" i="18"/>
  <c r="F86" i="18" s="1"/>
  <c r="M22" i="18"/>
  <c r="F87" i="18" s="1"/>
  <c r="M23" i="18"/>
  <c r="F92" i="18" s="1"/>
  <c r="M24" i="18"/>
  <c r="F101" i="18" s="1"/>
  <c r="M25" i="18"/>
  <c r="F103" i="18" s="1"/>
  <c r="G93" i="15"/>
  <c r="G92" i="15"/>
  <c r="G91" i="15"/>
  <c r="G90" i="15"/>
  <c r="G89" i="15"/>
  <c r="G88" i="15"/>
  <c r="G87" i="15"/>
  <c r="G86" i="15"/>
  <c r="G81" i="15"/>
  <c r="G80" i="15"/>
  <c r="G79" i="15"/>
  <c r="G78" i="15"/>
  <c r="G77" i="15"/>
  <c r="G76" i="15"/>
  <c r="G75" i="15"/>
  <c r="G74" i="15"/>
  <c r="G69" i="15"/>
  <c r="G68" i="15"/>
  <c r="G67" i="15"/>
  <c r="G66" i="15"/>
  <c r="G65" i="15"/>
  <c r="G64" i="15"/>
  <c r="G63" i="15"/>
  <c r="G62" i="15"/>
  <c r="G57" i="15"/>
  <c r="G56" i="15"/>
  <c r="G55" i="15"/>
  <c r="G54" i="15"/>
  <c r="G53" i="15"/>
  <c r="G52" i="15"/>
  <c r="G51" i="15"/>
  <c r="G50" i="15"/>
  <c r="G45" i="15"/>
  <c r="G44" i="15"/>
  <c r="G43" i="15"/>
  <c r="G42" i="15"/>
  <c r="G41" i="15"/>
  <c r="G40" i="15"/>
  <c r="G39" i="15"/>
  <c r="G38" i="15"/>
  <c r="G33" i="15"/>
  <c r="G32" i="15"/>
  <c r="G31" i="15"/>
  <c r="G30" i="15"/>
  <c r="G29" i="15"/>
  <c r="G28" i="15"/>
  <c r="G27" i="15"/>
  <c r="G26" i="15"/>
  <c r="G21" i="15"/>
  <c r="G20" i="15"/>
  <c r="G19" i="15"/>
  <c r="G18" i="15"/>
  <c r="G17" i="15"/>
  <c r="G16" i="15"/>
  <c r="G15" i="15"/>
  <c r="G14" i="15"/>
  <c r="G9" i="15"/>
  <c r="G8" i="15"/>
  <c r="G7" i="15"/>
  <c r="G6" i="15"/>
  <c r="G5" i="15"/>
  <c r="G4" i="15"/>
  <c r="G3" i="15"/>
  <c r="G2" i="15"/>
  <c r="G10" i="17"/>
  <c r="Z43" i="5"/>
  <c r="Q38" i="5"/>
  <c r="H33" i="5"/>
  <c r="Z27" i="5"/>
  <c r="P22" i="5"/>
  <c r="G17" i="5"/>
  <c r="Y11" i="5"/>
  <c r="P6" i="5"/>
  <c r="P42" i="5"/>
  <c r="G37" i="5"/>
  <c r="Y31" i="5"/>
  <c r="P26" i="5"/>
  <c r="F21" i="5"/>
  <c r="X15" i="5"/>
  <c r="O10" i="5"/>
  <c r="F5" i="5"/>
  <c r="F41" i="5"/>
  <c r="L35" i="5"/>
  <c r="O45" i="5"/>
  <c r="F40" i="5"/>
  <c r="X34" i="5"/>
  <c r="O29" i="5"/>
  <c r="F24" i="5"/>
  <c r="W18" i="5"/>
  <c r="N13" i="5"/>
  <c r="AF7" i="5"/>
  <c r="S43" i="5"/>
  <c r="J38" i="5"/>
  <c r="AB32" i="5"/>
  <c r="S27" i="5"/>
  <c r="I22" i="5"/>
  <c r="AA16" i="5"/>
  <c r="R11" i="5"/>
  <c r="I6" i="5"/>
  <c r="F39" i="5"/>
  <c r="G30" i="5"/>
  <c r="F22" i="5"/>
  <c r="F14" i="5"/>
  <c r="F6" i="5"/>
  <c r="AF5" i="5"/>
  <c r="AD35" i="5"/>
  <c r="L25" i="5"/>
  <c r="T12" i="5"/>
  <c r="AF34" i="5"/>
  <c r="AF38" i="5"/>
  <c r="F30" i="5"/>
  <c r="AF21" i="5"/>
  <c r="W8" i="5"/>
  <c r="K7" i="5"/>
  <c r="W42" i="5"/>
  <c r="V33" i="5"/>
  <c r="K25" i="5"/>
  <c r="J17" i="5"/>
  <c r="J9" i="5"/>
  <c r="AB41" i="5"/>
  <c r="Z32" i="5"/>
  <c r="S24" i="5"/>
  <c r="R16" i="5"/>
  <c r="R8" i="5"/>
  <c r="AA35" i="5"/>
  <c r="U38" i="5"/>
  <c r="W29" i="5"/>
  <c r="V21" i="5"/>
  <c r="V13" i="5"/>
  <c r="V5" i="5"/>
  <c r="K39" i="5"/>
  <c r="AF20" i="5"/>
  <c r="AE24" i="5"/>
  <c r="P33" i="5"/>
  <c r="S15" i="5"/>
  <c r="Q24" i="5"/>
  <c r="O24" i="5"/>
  <c r="Q21" i="5"/>
  <c r="P17" i="5"/>
  <c r="Z15" i="5"/>
  <c r="AE28" i="5"/>
  <c r="J18" i="5"/>
  <c r="O39" i="5"/>
  <c r="I30" i="5"/>
  <c r="H14" i="5"/>
  <c r="AE34" i="5"/>
  <c r="G18" i="5"/>
  <c r="Z34" i="5"/>
  <c r="Y34" i="5"/>
  <c r="Q32" i="5"/>
  <c r="Z26" i="5"/>
  <c r="I25" i="5"/>
  <c r="W34" i="5"/>
  <c r="U17" i="5"/>
  <c r="AD39" i="5"/>
  <c r="T21" i="5"/>
  <c r="T5" i="5"/>
  <c r="P29" i="5"/>
  <c r="AC11" i="5"/>
  <c r="K38" i="5"/>
  <c r="M21" i="5"/>
  <c r="AF44" i="5"/>
  <c r="AA32" i="5"/>
  <c r="S16" i="5"/>
  <c r="I41" i="5"/>
  <c r="AA23" i="5"/>
  <c r="AA7" i="5"/>
  <c r="AB37" i="5"/>
  <c r="AF28" i="5"/>
  <c r="AE12" i="5"/>
  <c r="V37" i="5"/>
  <c r="AD16" i="5"/>
  <c r="J14" i="5"/>
  <c r="AF22" i="5"/>
  <c r="Y14" i="5"/>
  <c r="V27" i="5"/>
  <c r="Q10" i="5"/>
  <c r="Z12" i="5"/>
  <c r="Y16" i="5"/>
  <c r="H31" i="5"/>
  <c r="R29" i="5"/>
  <c r="N43" i="5"/>
  <c r="AF37" i="5"/>
  <c r="W32" i="5"/>
  <c r="N27" i="5"/>
  <c r="AE21" i="5"/>
  <c r="V16" i="5"/>
  <c r="M11" i="5"/>
  <c r="AE5" i="5"/>
  <c r="AE41" i="5"/>
  <c r="V36" i="5"/>
  <c r="M31" i="5"/>
  <c r="AE25" i="5"/>
  <c r="U20" i="5"/>
  <c r="L15" i="5"/>
  <c r="AD9" i="5"/>
  <c r="AD45" i="5"/>
  <c r="U40" i="5"/>
  <c r="AA34" i="5"/>
  <c r="AD44" i="5"/>
  <c r="U39" i="5"/>
  <c r="L34" i="5"/>
  <c r="AD28" i="5"/>
  <c r="T23" i="5"/>
  <c r="K18" i="5"/>
  <c r="AC12" i="5"/>
  <c r="T7" i="5"/>
  <c r="G43" i="5"/>
  <c r="Y37" i="5"/>
  <c r="P32" i="5"/>
  <c r="G27" i="5"/>
  <c r="X21" i="5"/>
  <c r="O16" i="5"/>
  <c r="F11" i="5"/>
  <c r="X5" i="5"/>
  <c r="M38" i="5"/>
  <c r="O21" i="5"/>
  <c r="O13" i="5"/>
  <c r="O5" i="5"/>
  <c r="Z45" i="5"/>
  <c r="J35" i="5"/>
  <c r="AC23" i="5"/>
  <c r="Q33" i="5"/>
  <c r="N29" i="5"/>
  <c r="V6" i="5"/>
  <c r="AC41" i="5"/>
  <c r="T24" i="5"/>
  <c r="S8" i="5"/>
  <c r="AF31" i="5"/>
  <c r="AA15" i="5"/>
  <c r="K34" i="5"/>
  <c r="AE20" i="5"/>
  <c r="P45" i="5"/>
  <c r="W19" i="5"/>
  <c r="W31" i="5"/>
  <c r="Y21" i="5"/>
  <c r="Z18" i="5"/>
  <c r="Z11" i="5"/>
  <c r="J10" i="5"/>
  <c r="AA28" i="5"/>
  <c r="K33" i="5"/>
  <c r="J31" i="5"/>
  <c r="AC42" i="5"/>
  <c r="T37" i="5"/>
  <c r="K32" i="5"/>
  <c r="AC26" i="5"/>
  <c r="S21" i="5"/>
  <c r="J16" i="5"/>
  <c r="AB10" i="5"/>
  <c r="S5" i="5"/>
  <c r="S41" i="5"/>
  <c r="J36" i="5"/>
  <c r="AB30" i="5"/>
  <c r="S25" i="5"/>
  <c r="I20" i="5"/>
  <c r="AA14" i="5"/>
  <c r="R9" i="5"/>
  <c r="R45" i="5"/>
  <c r="I40" i="5"/>
  <c r="O34" i="5"/>
  <c r="R44" i="5"/>
  <c r="I39" i="5"/>
  <c r="AA33" i="5"/>
  <c r="R28" i="5"/>
  <c r="H23" i="5"/>
  <c r="Z17" i="5"/>
  <c r="Q12" i="5"/>
  <c r="H7" i="5"/>
  <c r="V42" i="5"/>
  <c r="M37" i="5"/>
  <c r="AE31" i="5"/>
  <c r="V26" i="5"/>
  <c r="L21" i="5"/>
  <c r="AD15" i="5"/>
  <c r="U10" i="5"/>
  <c r="L5" i="5"/>
  <c r="U37" i="5"/>
  <c r="Y28" i="5"/>
  <c r="X20" i="5"/>
  <c r="X12" i="5"/>
  <c r="AE19" i="5"/>
  <c r="R43" i="5"/>
  <c r="R34" i="5"/>
  <c r="K23" i="5"/>
  <c r="AC9" i="5"/>
  <c r="AD31" i="5"/>
  <c r="Q37" i="5"/>
  <c r="X28" i="5"/>
  <c r="W20" i="5"/>
  <c r="M5" i="5"/>
  <c r="U28" i="5"/>
  <c r="J41" i="5"/>
  <c r="G32" i="5"/>
  <c r="AB23" i="5"/>
  <c r="AB15" i="5"/>
  <c r="AB7" i="5"/>
  <c r="N40" i="5"/>
  <c r="K31" i="5"/>
  <c r="I23" i="5"/>
  <c r="I15" i="5"/>
  <c r="I7" i="5"/>
  <c r="Y32" i="5"/>
  <c r="I37" i="5"/>
  <c r="N28" i="5"/>
  <c r="M20" i="5"/>
  <c r="M12" i="5"/>
  <c r="X44" i="5"/>
  <c r="T35" i="5"/>
  <c r="N18" i="5"/>
  <c r="L14" i="5"/>
  <c r="K30" i="5"/>
  <c r="AB12" i="5"/>
  <c r="Y17" i="5"/>
  <c r="N20" i="5"/>
  <c r="Q13" i="5"/>
  <c r="P9" i="5"/>
  <c r="H5" i="5"/>
  <c r="M26" i="5"/>
  <c r="X40" i="5"/>
  <c r="Q29" i="5"/>
  <c r="R27" i="5"/>
  <c r="Q11" i="5"/>
  <c r="T31" i="5"/>
  <c r="P15" i="5"/>
  <c r="Q28" i="5"/>
  <c r="O28" i="5"/>
  <c r="AA26" i="5"/>
  <c r="P21" i="5"/>
  <c r="Z19" i="5"/>
  <c r="AF30" i="5"/>
  <c r="AD14" i="5"/>
  <c r="L36" i="5"/>
  <c r="AC18" i="5"/>
  <c r="R25" i="5"/>
  <c r="P20" i="5"/>
  <c r="AE26" i="5"/>
  <c r="AC14" i="5"/>
  <c r="H6" i="5"/>
  <c r="G8" i="5"/>
  <c r="T13" i="5"/>
  <c r="M24" i="5"/>
  <c r="AD26" i="5"/>
  <c r="U5" i="5"/>
  <c r="AF33" i="5"/>
  <c r="M23" i="5"/>
  <c r="V12" i="5"/>
  <c r="M27" i="5"/>
  <c r="AD5" i="5"/>
  <c r="L30" i="5"/>
  <c r="K14" i="5"/>
  <c r="F23" i="5"/>
  <c r="O12" i="5"/>
  <c r="R31" i="5"/>
  <c r="P37" i="5"/>
  <c r="N23" i="5"/>
  <c r="L44" i="5"/>
  <c r="P43" i="5"/>
  <c r="F31" i="5"/>
  <c r="W23" i="5"/>
  <c r="S19" i="5"/>
  <c r="Q39" i="5"/>
  <c r="T38" i="5"/>
  <c r="Q42" i="5"/>
  <c r="H37" i="5"/>
  <c r="Z31" i="5"/>
  <c r="Q26" i="5"/>
  <c r="G21" i="5"/>
  <c r="Y15" i="5"/>
  <c r="P10" i="5"/>
  <c r="G5" i="5"/>
  <c r="G41" i="5"/>
  <c r="Y35" i="5"/>
  <c r="P30" i="5"/>
  <c r="G25" i="5"/>
  <c r="X19" i="5"/>
  <c r="O14" i="5"/>
  <c r="F9" i="5"/>
  <c r="F45" i="5"/>
  <c r="X39" i="5"/>
  <c r="AD33" i="5"/>
  <c r="F44" i="5"/>
  <c r="X38" i="5"/>
  <c r="O33" i="5"/>
  <c r="F28" i="5"/>
  <c r="W22" i="5"/>
  <c r="N17" i="5"/>
  <c r="AF11" i="5"/>
  <c r="W6" i="5"/>
  <c r="J42" i="5"/>
  <c r="AB36" i="5"/>
  <c r="S31" i="5"/>
  <c r="J26" i="5"/>
  <c r="AA20" i="5"/>
  <c r="R15" i="5"/>
  <c r="I10" i="5"/>
  <c r="AC45" i="5"/>
  <c r="Z36" i="5"/>
  <c r="G28" i="5"/>
  <c r="F20" i="5"/>
  <c r="F12" i="5"/>
  <c r="N15" i="5"/>
  <c r="Y42" i="5"/>
  <c r="W33" i="5"/>
  <c r="AC21" i="5"/>
  <c r="K9" i="5"/>
  <c r="AB45" i="5"/>
  <c r="Y36" i="5"/>
  <c r="AF27" i="5"/>
  <c r="N19" i="5"/>
  <c r="M44" i="5"/>
  <c r="AC19" i="5"/>
  <c r="O40" i="5"/>
  <c r="O31" i="5"/>
  <c r="J23" i="5"/>
  <c r="J15" i="5"/>
  <c r="J7" i="5"/>
  <c r="T39" i="5"/>
  <c r="S30" i="5"/>
  <c r="R22" i="5"/>
  <c r="R14" i="5"/>
  <c r="R6" i="5"/>
  <c r="Q45" i="5"/>
  <c r="N36" i="5"/>
  <c r="W27" i="5"/>
  <c r="V19" i="5"/>
  <c r="V11" i="5"/>
  <c r="AC43" i="5"/>
  <c r="AC33" i="5"/>
  <c r="AF16" i="5"/>
  <c r="AD12" i="5"/>
  <c r="AC28" i="5"/>
  <c r="S11" i="5"/>
  <c r="G15" i="5"/>
  <c r="N16" i="5"/>
  <c r="Q9" i="5"/>
  <c r="Y6" i="5"/>
  <c r="N45" i="5"/>
  <c r="U23" i="5"/>
  <c r="G19" i="5"/>
  <c r="Z7" i="5"/>
  <c r="I26" i="5"/>
  <c r="H10" i="5"/>
  <c r="H30" i="5"/>
  <c r="G14" i="5"/>
  <c r="Z25" i="5"/>
  <c r="X25" i="5"/>
  <c r="Z22" i="5"/>
  <c r="Y18" i="5"/>
  <c r="H17" i="5"/>
  <c r="V29" i="5"/>
  <c r="U13" i="5"/>
  <c r="U34" i="5"/>
  <c r="T17" i="5"/>
  <c r="H16" i="5"/>
  <c r="Q14" i="5"/>
  <c r="L12" i="5"/>
  <c r="K16" i="5"/>
  <c r="H8" i="5"/>
  <c r="Q7" i="5"/>
  <c r="W17" i="5"/>
  <c r="H9" i="5"/>
  <c r="AE30" i="5"/>
  <c r="G10" i="5"/>
  <c r="AF14" i="5"/>
  <c r="V25" i="5"/>
  <c r="G12" i="5"/>
  <c r="L28" i="5"/>
  <c r="AD22" i="5"/>
  <c r="H13" i="5"/>
  <c r="N39" i="5"/>
  <c r="AE17" i="5"/>
  <c r="M43" i="5"/>
  <c r="U16" i="5"/>
  <c r="L11" i="5"/>
  <c r="U35" i="5"/>
  <c r="T19" i="5"/>
  <c r="P44" i="5"/>
  <c r="X17" i="5"/>
  <c r="T40" i="5"/>
  <c r="O15" i="5"/>
  <c r="Q31" i="5"/>
  <c r="K15" i="5"/>
  <c r="T26" i="5"/>
  <c r="AB25" i="5"/>
  <c r="H40" i="5"/>
  <c r="AE14" i="5"/>
  <c r="AF36" i="5"/>
  <c r="Y22" i="5"/>
  <c r="Z16" i="5"/>
  <c r="AF41" i="5"/>
  <c r="W36" i="5"/>
  <c r="N31" i="5"/>
  <c r="AF25" i="5"/>
  <c r="V20" i="5"/>
  <c r="M15" i="5"/>
  <c r="AE9" i="5"/>
  <c r="AE45" i="5"/>
  <c r="V40" i="5"/>
  <c r="M35" i="5"/>
  <c r="AE29" i="5"/>
  <c r="V24" i="5"/>
  <c r="L19" i="5"/>
  <c r="AD13" i="5"/>
  <c r="U8" i="5"/>
  <c r="U44" i="5"/>
  <c r="L39" i="5"/>
  <c r="R33" i="5"/>
  <c r="U43" i="5"/>
  <c r="L38" i="5"/>
  <c r="AD32" i="5"/>
  <c r="U27" i="5"/>
  <c r="K22" i="5"/>
  <c r="AC16" i="5"/>
  <c r="T11" i="5"/>
  <c r="K6" i="5"/>
  <c r="Y41" i="5"/>
  <c r="P36" i="5"/>
  <c r="G31" i="5"/>
  <c r="Y25" i="5"/>
  <c r="O20" i="5"/>
  <c r="F15" i="5"/>
  <c r="X9" i="5"/>
  <c r="J45" i="5"/>
  <c r="G36" i="5"/>
  <c r="P27" i="5"/>
  <c r="O19" i="5"/>
  <c r="O11" i="5"/>
  <c r="V14" i="5"/>
  <c r="F42" i="5"/>
  <c r="AC32" i="5"/>
  <c r="K21" i="5"/>
  <c r="T8" i="5"/>
  <c r="I45" i="5"/>
  <c r="AF35" i="5"/>
  <c r="O27" i="5"/>
  <c r="V18" i="5"/>
  <c r="U30" i="5"/>
  <c r="T14" i="5"/>
  <c r="V39" i="5"/>
  <c r="T30" i="5"/>
  <c r="S22" i="5"/>
  <c r="S14" i="5"/>
  <c r="S6" i="5"/>
  <c r="Z38" i="5"/>
  <c r="AB29" i="5"/>
  <c r="AA21" i="5"/>
  <c r="AA13" i="5"/>
  <c r="AA5" i="5"/>
  <c r="Y44" i="5"/>
  <c r="V35" i="5"/>
  <c r="AF26" i="5"/>
  <c r="AE18" i="5"/>
  <c r="AE10" i="5"/>
  <c r="H43" i="5"/>
  <c r="AC31" i="5"/>
  <c r="W15" i="5"/>
  <c r="L10" i="5"/>
  <c r="T27" i="5"/>
  <c r="AB8" i="5"/>
  <c r="P12" i="5"/>
  <c r="W13" i="5"/>
  <c r="Q5" i="5"/>
  <c r="AA43" i="5"/>
  <c r="O43" i="5"/>
  <c r="L22" i="5"/>
  <c r="Y9" i="5"/>
  <c r="K45" i="5"/>
  <c r="AA24" i="5"/>
  <c r="Z8" i="5"/>
  <c r="Z28" i="5"/>
  <c r="Y12" i="5"/>
  <c r="G23" i="5"/>
  <c r="W21" i="5"/>
  <c r="H20" i="5"/>
  <c r="G16" i="5"/>
  <c r="M28" i="5"/>
  <c r="S32" i="5"/>
  <c r="Q23" i="5"/>
  <c r="P11" i="5"/>
  <c r="P13" i="5"/>
  <c r="AD10" i="5"/>
  <c r="H26" i="5"/>
  <c r="Z14" i="5"/>
  <c r="U9" i="5"/>
  <c r="L8" i="5"/>
  <c r="AC10" i="5"/>
  <c r="U21" i="5"/>
  <c r="W44" i="5"/>
  <c r="W28" i="5"/>
  <c r="M7" i="5"/>
  <c r="AD21" i="5"/>
  <c r="AD41" i="5"/>
  <c r="AD24" i="5"/>
  <c r="AC8" i="5"/>
  <c r="P28" i="5"/>
  <c r="F7" i="5"/>
  <c r="O23" i="5"/>
  <c r="S40" i="5"/>
  <c r="AE11" i="5"/>
  <c r="H35" i="5"/>
  <c r="M34" i="5"/>
  <c r="AE22" i="5"/>
  <c r="W7" i="5"/>
  <c r="X29" i="5"/>
  <c r="L33" i="5"/>
  <c r="T44" i="5"/>
  <c r="T41" i="5"/>
  <c r="K36" i="5"/>
  <c r="AC30" i="5"/>
  <c r="T25" i="5"/>
  <c r="J20" i="5"/>
  <c r="AB14" i="5"/>
  <c r="S9" i="5"/>
  <c r="S45" i="5"/>
  <c r="J40" i="5"/>
  <c r="AB34" i="5"/>
  <c r="S29" i="5"/>
  <c r="J24" i="5"/>
  <c r="AA18" i="5"/>
  <c r="R13" i="5"/>
  <c r="I8" i="5"/>
  <c r="I44" i="5"/>
  <c r="AA38" i="5"/>
  <c r="F33" i="5"/>
  <c r="I43" i="5"/>
  <c r="AA37" i="5"/>
  <c r="R32" i="5"/>
  <c r="I27" i="5"/>
  <c r="Z21" i="5"/>
  <c r="Q16" i="5"/>
  <c r="H11" i="5"/>
  <c r="Z5" i="5"/>
  <c r="M41" i="5"/>
  <c r="AE35" i="5"/>
  <c r="V30" i="5"/>
  <c r="M25" i="5"/>
  <c r="AD19" i="5"/>
  <c r="U14" i="5"/>
  <c r="L9" i="5"/>
  <c r="O44" i="5"/>
  <c r="O35" i="5"/>
  <c r="Y26" i="5"/>
  <c r="X18" i="5"/>
  <c r="X10" i="5"/>
  <c r="M13" i="5"/>
  <c r="K41" i="5"/>
  <c r="H32" i="5"/>
  <c r="K19" i="5"/>
  <c r="T6" i="5"/>
  <c r="N44" i="5"/>
  <c r="K35" i="5"/>
  <c r="W26" i="5"/>
  <c r="AF17" i="5"/>
  <c r="L27" i="5"/>
  <c r="T10" i="5"/>
  <c r="AD38" i="5"/>
  <c r="AC29" i="5"/>
  <c r="AB21" i="5"/>
  <c r="AB13" i="5"/>
  <c r="AB5" i="5"/>
  <c r="G38" i="5"/>
  <c r="J29" i="5"/>
  <c r="I21" i="5"/>
  <c r="I13" i="5"/>
  <c r="I5" i="5"/>
  <c r="AD43" i="5"/>
  <c r="AD34" i="5"/>
  <c r="N26" i="5"/>
  <c r="M18" i="5"/>
  <c r="M10" i="5"/>
  <c r="N42" i="5"/>
  <c r="O30" i="5"/>
  <c r="N14" i="5"/>
  <c r="AD8" i="5"/>
  <c r="K26" i="5"/>
  <c r="S7" i="5"/>
  <c r="P8" i="5"/>
  <c r="AF10" i="5"/>
  <c r="AB43" i="5"/>
  <c r="W35" i="5"/>
  <c r="P41" i="5"/>
  <c r="AD20" i="5"/>
  <c r="L40" i="5"/>
  <c r="F43" i="5"/>
  <c r="Q27" i="5"/>
  <c r="Q17" i="5"/>
  <c r="X37" i="5"/>
  <c r="Q6" i="5"/>
  <c r="Q44" i="5"/>
  <c r="W37" i="5"/>
  <c r="F34" i="5"/>
  <c r="AA30" i="5"/>
  <c r="O7" i="5"/>
  <c r="AA17" i="5"/>
  <c r="Z29" i="5"/>
  <c r="H41" i="5"/>
  <c r="Z35" i="5"/>
  <c r="Q30" i="5"/>
  <c r="H25" i="5"/>
  <c r="Y19" i="5"/>
  <c r="P14" i="5"/>
  <c r="G9" i="5"/>
  <c r="G45" i="5"/>
  <c r="Y39" i="5"/>
  <c r="P34" i="5"/>
  <c r="G29" i="5"/>
  <c r="X23" i="5"/>
  <c r="O18" i="5"/>
  <c r="F13" i="5"/>
  <c r="X7" i="5"/>
  <c r="X43" i="5"/>
  <c r="O38" i="5"/>
  <c r="U32" i="5"/>
  <c r="X42" i="5"/>
  <c r="O37" i="5"/>
  <c r="F32" i="5"/>
  <c r="X26" i="5"/>
  <c r="N21" i="5"/>
  <c r="AF15" i="5"/>
  <c r="W10" i="5"/>
  <c r="N5" i="5"/>
  <c r="AB40" i="5"/>
  <c r="S35" i="5"/>
  <c r="J30" i="5"/>
  <c r="AB24" i="5"/>
  <c r="R19" i="5"/>
  <c r="I14" i="5"/>
  <c r="AA8" i="5"/>
  <c r="V43" i="5"/>
  <c r="T34" i="5"/>
  <c r="G26" i="5"/>
  <c r="F18" i="5"/>
  <c r="F10" i="5"/>
  <c r="W12" i="5"/>
  <c r="Q40" i="5"/>
  <c r="P31" i="5"/>
  <c r="T18" i="5"/>
  <c r="AC5" i="5"/>
  <c r="T43" i="5"/>
  <c r="S34" i="5"/>
  <c r="F26" i="5"/>
  <c r="M17" i="5"/>
  <c r="U24" i="5"/>
  <c r="AC7" i="5"/>
  <c r="H38" i="5"/>
  <c r="K29" i="5"/>
  <c r="J21" i="5"/>
  <c r="J13" i="5"/>
  <c r="J5" i="5"/>
  <c r="L37" i="5"/>
  <c r="S28" i="5"/>
  <c r="R20" i="5"/>
  <c r="R12" i="5"/>
  <c r="V45" i="5"/>
  <c r="J43" i="5"/>
  <c r="H34" i="5"/>
  <c r="W25" i="5"/>
  <c r="V17" i="5"/>
  <c r="V9" i="5"/>
  <c r="V41" i="5"/>
  <c r="F29" i="5"/>
  <c r="AF12" i="5"/>
  <c r="U7" i="5"/>
  <c r="AC24" i="5"/>
  <c r="J6" i="5"/>
  <c r="Y5" i="5"/>
  <c r="AF6" i="5"/>
  <c r="H36" i="5"/>
  <c r="N32" i="5"/>
  <c r="J39" i="5"/>
  <c r="U19" i="5"/>
  <c r="AF18" i="5"/>
  <c r="Z40" i="5"/>
  <c r="H22" i="5"/>
  <c r="P16" i="5"/>
  <c r="U29" i="5"/>
  <c r="AF39" i="5"/>
  <c r="V32" i="5"/>
  <c r="Y33" i="5"/>
  <c r="F38" i="5"/>
  <c r="S10" i="5"/>
  <c r="W43" i="5"/>
  <c r="L6" i="5"/>
  <c r="AF45" i="5"/>
  <c r="W40" i="5"/>
  <c r="N35" i="5"/>
  <c r="AF29" i="5"/>
  <c r="W24" i="5"/>
  <c r="M19" i="5"/>
  <c r="AE13" i="5"/>
  <c r="V8" i="5"/>
  <c r="V44" i="5"/>
  <c r="M39" i="5"/>
  <c r="AE33" i="5"/>
  <c r="V28" i="5"/>
  <c r="L23" i="5"/>
  <c r="AD17" i="5"/>
  <c r="U12" i="5"/>
  <c r="L7" i="5"/>
  <c r="L43" i="5"/>
  <c r="AD37" i="5"/>
  <c r="I32" i="5"/>
  <c r="L42" i="5"/>
  <c r="AD36" i="5"/>
  <c r="U31" i="5"/>
  <c r="L26" i="5"/>
  <c r="AC20" i="5"/>
  <c r="T15" i="5"/>
  <c r="K10" i="5"/>
  <c r="Y45" i="5"/>
  <c r="P40" i="5"/>
  <c r="G35" i="5"/>
  <c r="Y29" i="5"/>
  <c r="P24" i="5"/>
  <c r="F19" i="5"/>
  <c r="X13" i="5"/>
  <c r="O8" i="5"/>
  <c r="AD42" i="5"/>
  <c r="Z33" i="5"/>
  <c r="P25" i="5"/>
  <c r="O17" i="5"/>
  <c r="O9" i="5"/>
  <c r="N11" i="5"/>
  <c r="W39" i="5"/>
  <c r="AD29" i="5"/>
  <c r="K17" i="5"/>
  <c r="AA44" i="5"/>
  <c r="Z42" i="5"/>
  <c r="X33" i="5"/>
  <c r="N25" i="5"/>
  <c r="W16" i="5"/>
  <c r="T22" i="5"/>
  <c r="K5" i="5"/>
  <c r="N37" i="5"/>
  <c r="T28" i="5"/>
  <c r="S20" i="5"/>
  <c r="S12" i="5"/>
  <c r="W45" i="5"/>
  <c r="S36" i="5"/>
  <c r="AB27" i="5"/>
  <c r="AA19" i="5"/>
  <c r="AA11" i="5"/>
  <c r="T42" i="5"/>
  <c r="R42" i="5"/>
  <c r="N33" i="5"/>
  <c r="AF24" i="5"/>
  <c r="AE16" i="5"/>
  <c r="AE8" i="5"/>
  <c r="AA40" i="5"/>
  <c r="X27" i="5"/>
  <c r="W11" i="5"/>
  <c r="L45" i="5"/>
  <c r="S23" i="5"/>
  <c r="AE42" i="5"/>
  <c r="S42" i="5"/>
  <c r="I42" i="5"/>
  <c r="O32" i="5"/>
  <c r="I29" i="5"/>
  <c r="J37" i="5"/>
  <c r="L18" i="5"/>
  <c r="N8" i="5"/>
  <c r="W38" i="5"/>
  <c r="Z20" i="5"/>
  <c r="Z44" i="5"/>
  <c r="Z24" i="5"/>
  <c r="Y8" i="5"/>
  <c r="Y13" i="5"/>
  <c r="N12" i="5"/>
  <c r="Z10" i="5"/>
  <c r="P5" i="5"/>
  <c r="K12" i="5"/>
  <c r="U25" i="5"/>
  <c r="U36" i="5"/>
  <c r="AE7" i="5"/>
  <c r="AA9" i="5"/>
  <c r="I28" i="5"/>
  <c r="T45" i="5"/>
  <c r="K40" i="5"/>
  <c r="AC34" i="5"/>
  <c r="T29" i="5"/>
  <c r="K24" i="5"/>
  <c r="AB18" i="5"/>
  <c r="S13" i="5"/>
  <c r="J8" i="5"/>
  <c r="J44" i="5"/>
  <c r="AB38" i="5"/>
  <c r="S33" i="5"/>
  <c r="J28" i="5"/>
  <c r="AA22" i="5"/>
  <c r="R17" i="5"/>
  <c r="I12" i="5"/>
  <c r="AA6" i="5"/>
  <c r="AA42" i="5"/>
  <c r="R37" i="5"/>
  <c r="X31" i="5"/>
  <c r="AA41" i="5"/>
  <c r="R36" i="5"/>
  <c r="I31" i="5"/>
  <c r="AA25" i="5"/>
  <c r="Q20" i="5"/>
  <c r="H15" i="5"/>
  <c r="Z9" i="5"/>
  <c r="M45" i="5"/>
  <c r="AE39" i="5"/>
  <c r="V34" i="5"/>
  <c r="M29" i="5"/>
  <c r="AD23" i="5"/>
  <c r="U18" i="5"/>
  <c r="L13" i="5"/>
  <c r="AD7" i="5"/>
  <c r="H42" i="5"/>
  <c r="AF32" i="5"/>
  <c r="Y24" i="5"/>
  <c r="X16" i="5"/>
  <c r="X8" i="5"/>
  <c r="V10" i="5"/>
  <c r="AE38" i="5"/>
  <c r="L29" i="5"/>
  <c r="T16" i="5"/>
  <c r="Z41" i="5"/>
  <c r="G42" i="5"/>
  <c r="AE32" i="5"/>
  <c r="X24" i="5"/>
  <c r="AE15" i="5"/>
  <c r="T20" i="5"/>
  <c r="X45" i="5"/>
  <c r="T36" i="5"/>
  <c r="AC27" i="5"/>
  <c r="AB19" i="5"/>
  <c r="AB11" i="5"/>
  <c r="AC44" i="5"/>
  <c r="AB35" i="5"/>
  <c r="J27" i="5"/>
  <c r="I19" i="5"/>
  <c r="I11" i="5"/>
  <c r="AF40" i="5"/>
  <c r="W41" i="5"/>
  <c r="T32" i="5"/>
  <c r="N24" i="5"/>
  <c r="M16" i="5"/>
  <c r="M8" i="5"/>
  <c r="G40" i="5"/>
  <c r="O26" i="5"/>
  <c r="N10" i="5"/>
  <c r="AE40" i="5"/>
  <c r="J22" i="5"/>
  <c r="AA36" i="5"/>
  <c r="R38" i="5"/>
  <c r="I34" i="5"/>
  <c r="H28" i="5"/>
  <c r="R26" i="5"/>
  <c r="R35" i="5"/>
  <c r="U15" i="5"/>
  <c r="Z37" i="5"/>
  <c r="AE36" i="5"/>
  <c r="Q19" i="5"/>
  <c r="AF42" i="5"/>
  <c r="P23" i="5"/>
  <c r="P7" i="5"/>
  <c r="G11" i="5"/>
  <c r="W9" i="5"/>
  <c r="Z6" i="5"/>
  <c r="U41" i="5"/>
  <c r="M42" i="5"/>
  <c r="AD6" i="5"/>
  <c r="AD40" i="5"/>
  <c r="U26" i="5"/>
  <c r="Y38" i="5"/>
  <c r="H21" i="5"/>
  <c r="H45" i="5"/>
  <c r="Z39" i="5"/>
  <c r="Q34" i="5"/>
  <c r="H29" i="5"/>
  <c r="Y23" i="5"/>
  <c r="P18" i="5"/>
  <c r="G13" i="5"/>
  <c r="Y7" i="5"/>
  <c r="Y43" i="5"/>
  <c r="P38" i="5"/>
  <c r="G33" i="5"/>
  <c r="Y27" i="5"/>
  <c r="O22" i="5"/>
  <c r="F17" i="5"/>
  <c r="X11" i="5"/>
  <c r="O6" i="5"/>
  <c r="O42" i="5"/>
  <c r="F37" i="5"/>
  <c r="L31" i="5"/>
  <c r="O41" i="5"/>
  <c r="F36" i="5"/>
  <c r="X30" i="5"/>
  <c r="O25" i="5"/>
  <c r="AF19" i="5"/>
  <c r="W14" i="5"/>
  <c r="N9" i="5"/>
  <c r="AB44" i="5"/>
  <c r="S39" i="5"/>
  <c r="J34" i="5"/>
  <c r="AB28" i="5"/>
  <c r="R23" i="5"/>
  <c r="I18" i="5"/>
  <c r="AA12" i="5"/>
  <c r="R7" i="5"/>
  <c r="N41" i="5"/>
  <c r="M32" i="5"/>
  <c r="G24" i="5"/>
  <c r="F16" i="5"/>
  <c r="F8" i="5"/>
  <c r="M9" i="5"/>
  <c r="I38" i="5"/>
  <c r="AD27" i="5"/>
  <c r="AC15" i="5"/>
  <c r="R39" i="5"/>
  <c r="L41" i="5"/>
  <c r="L32" i="5"/>
  <c r="AE23" i="5"/>
  <c r="AF13" i="5"/>
  <c r="AC17" i="5"/>
  <c r="AE44" i="5"/>
  <c r="AC35" i="5"/>
  <c r="K27" i="5"/>
  <c r="J19" i="5"/>
  <c r="J11" i="5"/>
  <c r="H44" i="5"/>
  <c r="F35" i="5"/>
  <c r="S26" i="5"/>
  <c r="R18" i="5"/>
  <c r="R10" i="5"/>
  <c r="M40" i="5"/>
  <c r="AC40" i="5"/>
  <c r="AB31" i="5"/>
  <c r="V23" i="5"/>
  <c r="V15" i="5"/>
  <c r="V7" i="5"/>
  <c r="U45" i="5"/>
  <c r="F25" i="5"/>
  <c r="AF8" i="5"/>
  <c r="H39" i="5"/>
  <c r="AB20" i="5"/>
  <c r="J33" i="5"/>
  <c r="I33" i="5"/>
  <c r="AD30" i="5"/>
  <c r="Q25" i="5"/>
  <c r="Z23" i="5"/>
  <c r="AB33" i="5"/>
  <c r="U11" i="5"/>
  <c r="H12" i="5"/>
  <c r="P35" i="5"/>
  <c r="H18" i="5"/>
  <c r="Y40" i="5"/>
  <c r="G22" i="5"/>
  <c r="G6" i="5"/>
  <c r="G7" i="5"/>
  <c r="W5" i="5"/>
  <c r="X41" i="5"/>
  <c r="T9" i="5"/>
  <c r="AE37" i="5"/>
  <c r="G39" i="5"/>
  <c r="AC13" i="5"/>
  <c r="S18" i="5"/>
  <c r="AE6" i="5"/>
  <c r="AA31" i="5"/>
  <c r="AB22" i="5"/>
  <c r="R41" i="5"/>
  <c r="M33" i="5"/>
  <c r="X36" i="5"/>
  <c r="AB17" i="5"/>
  <c r="M6" i="5"/>
  <c r="K43" i="5"/>
  <c r="G34" i="5"/>
  <c r="G44" i="5"/>
  <c r="AF43" i="5"/>
  <c r="X14" i="5"/>
  <c r="Q18" i="5"/>
  <c r="N7" i="5"/>
  <c r="S17" i="5"/>
  <c r="X35" i="5"/>
  <c r="AE27" i="5"/>
  <c r="AD25" i="5"/>
  <c r="AB9" i="5"/>
  <c r="Q41" i="5"/>
  <c r="Y10" i="5"/>
  <c r="Z30" i="5"/>
  <c r="K42" i="5"/>
  <c r="AC6" i="5"/>
  <c r="AE43" i="5"/>
  <c r="J12" i="5"/>
  <c r="AA45" i="5"/>
  <c r="U22" i="5"/>
  <c r="K13" i="5"/>
  <c r="U42" i="5"/>
  <c r="N22" i="5"/>
  <c r="V31" i="5"/>
  <c r="H24" i="5"/>
  <c r="AC37" i="5"/>
  <c r="N30" i="5"/>
  <c r="AD18" i="5"/>
  <c r="AC25" i="5"/>
  <c r="AB6" i="5"/>
  <c r="R40" i="5"/>
  <c r="L17" i="5"/>
  <c r="Q36" i="5"/>
  <c r="U33" i="5"/>
  <c r="N6" i="5"/>
  <c r="Q15" i="5"/>
  <c r="R30" i="5"/>
  <c r="L24" i="5"/>
  <c r="K8" i="5"/>
  <c r="X32" i="5"/>
  <c r="Q8" i="5"/>
  <c r="O36" i="5"/>
  <c r="X6" i="5"/>
  <c r="K28" i="5"/>
  <c r="M30" i="5"/>
  <c r="AB42" i="5"/>
  <c r="I35" i="5"/>
  <c r="AD11" i="5"/>
  <c r="AA39" i="5"/>
  <c r="J25" i="5"/>
  <c r="Q35" i="5"/>
  <c r="AC36" i="5"/>
  <c r="AA27" i="5"/>
  <c r="AC22" i="5"/>
  <c r="Q22" i="5"/>
  <c r="P39" i="5"/>
  <c r="AC38" i="5"/>
  <c r="Q43" i="5"/>
  <c r="T33" i="5"/>
  <c r="N34" i="5"/>
  <c r="V38" i="5"/>
  <c r="S37" i="5"/>
  <c r="AA29" i="5"/>
  <c r="U6" i="5"/>
  <c r="W30" i="5"/>
  <c r="I17" i="5"/>
  <c r="AB16" i="5"/>
  <c r="Y20" i="5"/>
  <c r="K20" i="5"/>
  <c r="G20" i="5"/>
  <c r="L16" i="5"/>
  <c r="J32" i="5"/>
  <c r="R24" i="5"/>
  <c r="AB39" i="5"/>
  <c r="V22" i="5"/>
  <c r="I9" i="5"/>
  <c r="H27" i="5"/>
  <c r="P19" i="5"/>
  <c r="N38" i="5"/>
  <c r="S44" i="5"/>
  <c r="I16" i="5"/>
  <c r="M22" i="5"/>
  <c r="M14" i="5"/>
  <c r="AB26" i="5"/>
  <c r="H19" i="5"/>
  <c r="Y30" i="5"/>
  <c r="AF9" i="5"/>
  <c r="K37" i="5"/>
  <c r="F27" i="5"/>
  <c r="S38" i="5"/>
  <c r="M36" i="5"/>
  <c r="AA10" i="5"/>
  <c r="I36" i="5"/>
  <c r="K44" i="5"/>
  <c r="R21" i="5"/>
  <c r="Z13" i="5"/>
  <c r="X22" i="5"/>
  <c r="K11" i="5"/>
  <c r="I24" i="5"/>
  <c r="L20" i="5"/>
  <c r="AC39" i="5"/>
  <c r="R5" i="5"/>
  <c r="F65" i="18" l="1"/>
  <c r="F66" i="18"/>
  <c r="F51" i="18"/>
  <c r="F37" i="18"/>
  <c r="F27" i="18"/>
  <c r="F63" i="18"/>
  <c r="F24" i="18"/>
  <c r="F75" i="18"/>
  <c r="F62" i="18"/>
  <c r="F40" i="18"/>
  <c r="F39" i="18"/>
  <c r="F93" i="18"/>
  <c r="F14" i="18"/>
  <c r="F2" i="18"/>
  <c r="F89" i="18"/>
  <c r="F48" i="18"/>
  <c r="F10" i="18"/>
  <c r="F100" i="18"/>
  <c r="F74" i="18"/>
  <c r="F47" i="18"/>
  <c r="F35" i="18"/>
  <c r="F23" i="18"/>
  <c r="F9" i="18"/>
  <c r="F102" i="18"/>
  <c r="F99" i="18"/>
  <c r="F73" i="18"/>
  <c r="F59" i="18"/>
  <c r="F46" i="18"/>
  <c r="F34" i="18"/>
  <c r="F22" i="18"/>
  <c r="F8" i="18"/>
  <c r="F98" i="18"/>
  <c r="F72" i="18"/>
  <c r="F58" i="18"/>
  <c r="F45" i="18"/>
  <c r="F33" i="18"/>
  <c r="F7" i="18"/>
  <c r="F11" i="18"/>
  <c r="F36" i="18"/>
  <c r="F97" i="18"/>
  <c r="F71" i="18"/>
  <c r="F57" i="18"/>
  <c r="F44" i="18"/>
  <c r="F32" i="18"/>
  <c r="F6" i="18"/>
  <c r="F96" i="18"/>
  <c r="F83" i="18"/>
  <c r="F70" i="18"/>
  <c r="F56" i="18"/>
  <c r="F43" i="18"/>
  <c r="F31" i="18"/>
  <c r="F5" i="18"/>
  <c r="F55" i="18"/>
  <c r="F42" i="18"/>
  <c r="F30" i="18"/>
  <c r="F4" i="18"/>
  <c r="F88" i="18"/>
  <c r="F81" i="18"/>
  <c r="F67" i="18"/>
  <c r="F54" i="18"/>
  <c r="F28" i="18"/>
  <c r="F13" i="18"/>
  <c r="F64" i="18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49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26" i="19"/>
  <c r="AG29" i="19"/>
  <c r="P27" i="19"/>
  <c r="O27" i="19"/>
  <c r="N27" i="19"/>
  <c r="P13" i="19"/>
  <c r="O13" i="19"/>
  <c r="N13" i="19"/>
  <c r="P8" i="19"/>
  <c r="O8" i="19"/>
  <c r="N8" i="19"/>
  <c r="L26" i="19"/>
  <c r="P26" i="19" s="1"/>
  <c r="K26" i="19"/>
  <c r="O26" i="19" s="1"/>
  <c r="J26" i="19"/>
  <c r="N26" i="19" s="1"/>
  <c r="L25" i="19"/>
  <c r="P25" i="19" s="1"/>
  <c r="K25" i="19"/>
  <c r="O25" i="19" s="1"/>
  <c r="J25" i="19"/>
  <c r="N25" i="19" s="1"/>
  <c r="L24" i="19"/>
  <c r="P24" i="19" s="1"/>
  <c r="K24" i="19"/>
  <c r="O24" i="19" s="1"/>
  <c r="J24" i="19"/>
  <c r="N24" i="19" s="1"/>
  <c r="L23" i="19"/>
  <c r="P23" i="19" s="1"/>
  <c r="K23" i="19"/>
  <c r="O23" i="19" s="1"/>
  <c r="J23" i="19"/>
  <c r="N23" i="19" s="1"/>
  <c r="L22" i="19"/>
  <c r="P22" i="19" s="1"/>
  <c r="K22" i="19"/>
  <c r="O22" i="19" s="1"/>
  <c r="J22" i="19"/>
  <c r="N22" i="19" s="1"/>
  <c r="L21" i="19"/>
  <c r="P21" i="19" s="1"/>
  <c r="K21" i="19"/>
  <c r="O21" i="19" s="1"/>
  <c r="J21" i="19"/>
  <c r="N21" i="19" s="1"/>
  <c r="L20" i="19"/>
  <c r="P20" i="19" s="1"/>
  <c r="K20" i="19"/>
  <c r="O20" i="19" s="1"/>
  <c r="J20" i="19"/>
  <c r="N20" i="19" s="1"/>
  <c r="L19" i="19"/>
  <c r="P19" i="19" s="1"/>
  <c r="K19" i="19"/>
  <c r="O19" i="19" s="1"/>
  <c r="J19" i="19"/>
  <c r="N19" i="19" s="1"/>
  <c r="L18" i="19"/>
  <c r="P18" i="19" s="1"/>
  <c r="K18" i="19"/>
  <c r="O18" i="19" s="1"/>
  <c r="J18" i="19"/>
  <c r="N18" i="19" s="1"/>
  <c r="K16" i="19"/>
  <c r="O16" i="19" s="1"/>
  <c r="L16" i="19"/>
  <c r="P16" i="19" s="1"/>
  <c r="K17" i="19"/>
  <c r="O17" i="19" s="1"/>
  <c r="L17" i="19"/>
  <c r="P17" i="19" s="1"/>
  <c r="J17" i="19"/>
  <c r="N17" i="19" s="1"/>
  <c r="J16" i="19"/>
  <c r="N16" i="19" s="1"/>
  <c r="L15" i="19"/>
  <c r="P15" i="19" s="1"/>
  <c r="K15" i="19"/>
  <c r="O15" i="19" s="1"/>
  <c r="L14" i="19"/>
  <c r="P14" i="19" s="1"/>
  <c r="K14" i="19"/>
  <c r="O14" i="19" s="1"/>
  <c r="J15" i="19"/>
  <c r="N15" i="19" s="1"/>
  <c r="J14" i="19"/>
  <c r="N14" i="19" s="1"/>
  <c r="L12" i="19"/>
  <c r="P12" i="19" s="1"/>
  <c r="K12" i="19"/>
  <c r="O12" i="19" s="1"/>
  <c r="J12" i="19"/>
  <c r="N12" i="19" s="1"/>
  <c r="L11" i="19"/>
  <c r="P11" i="19" s="1"/>
  <c r="K11" i="19"/>
  <c r="O11" i="19" s="1"/>
  <c r="J11" i="19"/>
  <c r="N11" i="19" s="1"/>
  <c r="L10" i="19"/>
  <c r="P10" i="19" s="1"/>
  <c r="K10" i="19"/>
  <c r="O10" i="19" s="1"/>
  <c r="J10" i="19"/>
  <c r="N10" i="19" s="1"/>
  <c r="L9" i="19"/>
  <c r="P9" i="19" s="1"/>
  <c r="K9" i="19"/>
  <c r="O9" i="19" s="1"/>
  <c r="J9" i="19"/>
  <c r="N9" i="19" s="1"/>
  <c r="L7" i="19"/>
  <c r="P7" i="19" s="1"/>
  <c r="K7" i="19"/>
  <c r="O7" i="19" s="1"/>
  <c r="J7" i="19"/>
  <c r="N7" i="19" s="1"/>
  <c r="L6" i="19"/>
  <c r="K6" i="19"/>
  <c r="J6" i="19"/>
  <c r="N6" i="19" s="1"/>
  <c r="AE27" i="19"/>
  <c r="AE26" i="19"/>
  <c r="AE25" i="19"/>
  <c r="AE24" i="19"/>
  <c r="AE23" i="19"/>
  <c r="AE22" i="19"/>
  <c r="AE20" i="19"/>
  <c r="AE19" i="19"/>
  <c r="AE21" i="19"/>
  <c r="AE18" i="19"/>
  <c r="AE17" i="19"/>
  <c r="AE16" i="19"/>
  <c r="AE15" i="19"/>
  <c r="AE14" i="19"/>
  <c r="AE13" i="19"/>
  <c r="AE12" i="19"/>
  <c r="AE10" i="19"/>
  <c r="AE11" i="19"/>
  <c r="AE9" i="19"/>
  <c r="AE8" i="19"/>
  <c r="AE7" i="19"/>
  <c r="AE6" i="19"/>
  <c r="AB18" i="19"/>
  <c r="AA18" i="19"/>
  <c r="Z18" i="19"/>
  <c r="J29" i="19" l="1"/>
  <c r="N29" i="19" s="1"/>
  <c r="R13" i="19" s="1"/>
  <c r="E10" i="19" s="1"/>
  <c r="K29" i="19"/>
  <c r="O29" i="19" s="1"/>
  <c r="S13" i="19" s="1"/>
  <c r="E33" i="19" s="1"/>
  <c r="L29" i="19"/>
  <c r="P29" i="19" s="1"/>
  <c r="T16" i="19" s="1"/>
  <c r="E59" i="19" s="1"/>
  <c r="S24" i="19"/>
  <c r="E44" i="19" s="1"/>
  <c r="O6" i="19"/>
  <c r="P6" i="19"/>
  <c r="F11" i="17"/>
  <c r="F10" i="17"/>
  <c r="F9" i="17"/>
  <c r="F8" i="17"/>
  <c r="F7" i="17"/>
  <c r="F6" i="17"/>
  <c r="F5" i="17"/>
  <c r="F4" i="17"/>
  <c r="F3" i="17"/>
  <c r="F2" i="17"/>
  <c r="S26" i="19" l="1"/>
  <c r="E46" i="19" s="1"/>
  <c r="S12" i="19"/>
  <c r="E32" i="19" s="1"/>
  <c r="S20" i="19"/>
  <c r="E40" i="19" s="1"/>
  <c r="S10" i="19"/>
  <c r="E30" i="19" s="1"/>
  <c r="T10" i="19"/>
  <c r="E53" i="19" s="1"/>
  <c r="T8" i="19"/>
  <c r="E51" i="19" s="1"/>
  <c r="T14" i="19"/>
  <c r="E57" i="19" s="1"/>
  <c r="T15" i="19"/>
  <c r="E58" i="19" s="1"/>
  <c r="T23" i="19"/>
  <c r="E66" i="19" s="1"/>
  <c r="T22" i="19"/>
  <c r="E65" i="19" s="1"/>
  <c r="T18" i="19"/>
  <c r="E61" i="19" s="1"/>
  <c r="T19" i="19"/>
  <c r="E62" i="19" s="1"/>
  <c r="T13" i="19"/>
  <c r="E56" i="19" s="1"/>
  <c r="T21" i="19"/>
  <c r="E64" i="19" s="1"/>
  <c r="T12" i="19"/>
  <c r="E55" i="19" s="1"/>
  <c r="T9" i="19"/>
  <c r="E52" i="19" s="1"/>
  <c r="T6" i="19"/>
  <c r="E49" i="19" s="1"/>
  <c r="T26" i="19"/>
  <c r="E69" i="19" s="1"/>
  <c r="T27" i="19"/>
  <c r="E70" i="19" s="1"/>
  <c r="T24" i="19"/>
  <c r="E67" i="19" s="1"/>
  <c r="T25" i="19"/>
  <c r="E68" i="19" s="1"/>
  <c r="T20" i="19"/>
  <c r="E63" i="19" s="1"/>
  <c r="T7" i="19"/>
  <c r="E50" i="19" s="1"/>
  <c r="T11" i="19"/>
  <c r="E54" i="19" s="1"/>
  <c r="T17" i="19"/>
  <c r="E60" i="19" s="1"/>
  <c r="R18" i="19"/>
  <c r="E15" i="19" s="1"/>
  <c r="R11" i="19"/>
  <c r="E8" i="19" s="1"/>
  <c r="R19" i="19"/>
  <c r="E16" i="19" s="1"/>
  <c r="R8" i="19"/>
  <c r="E5" i="19" s="1"/>
  <c r="R7" i="19"/>
  <c r="E4" i="19" s="1"/>
  <c r="R22" i="19"/>
  <c r="E19" i="19" s="1"/>
  <c r="R21" i="19"/>
  <c r="E18" i="19" s="1"/>
  <c r="S11" i="19"/>
  <c r="E31" i="19" s="1"/>
  <c r="R12" i="19"/>
  <c r="E9" i="19" s="1"/>
  <c r="R6" i="19"/>
  <c r="E3" i="19" s="1"/>
  <c r="S6" i="19"/>
  <c r="E26" i="19" s="1"/>
  <c r="S17" i="19"/>
  <c r="E37" i="19" s="1"/>
  <c r="S25" i="19"/>
  <c r="E45" i="19" s="1"/>
  <c r="R26" i="19"/>
  <c r="E23" i="19" s="1"/>
  <c r="R23" i="19"/>
  <c r="E20" i="19" s="1"/>
  <c r="S19" i="19"/>
  <c r="E39" i="19" s="1"/>
  <c r="S27" i="19"/>
  <c r="E47" i="19" s="1"/>
  <c r="S8" i="19"/>
  <c r="E28" i="19" s="1"/>
  <c r="R17" i="19"/>
  <c r="E14" i="19" s="1"/>
  <c r="S22" i="19"/>
  <c r="E42" i="19" s="1"/>
  <c r="S14" i="19"/>
  <c r="E34" i="19" s="1"/>
  <c r="S21" i="19"/>
  <c r="E41" i="19" s="1"/>
  <c r="R27" i="19"/>
  <c r="E24" i="19" s="1"/>
  <c r="S18" i="19"/>
  <c r="E38" i="19" s="1"/>
  <c r="S23" i="19"/>
  <c r="E43" i="19" s="1"/>
  <c r="R24" i="19"/>
  <c r="E21" i="19" s="1"/>
  <c r="R15" i="19"/>
  <c r="E12" i="19" s="1"/>
  <c r="R25" i="19"/>
  <c r="E22" i="19" s="1"/>
  <c r="S16" i="19"/>
  <c r="E36" i="19" s="1"/>
  <c r="R16" i="19"/>
  <c r="E13" i="19" s="1"/>
  <c r="R10" i="19"/>
  <c r="E7" i="19" s="1"/>
  <c r="S15" i="19"/>
  <c r="E35" i="19" s="1"/>
  <c r="S9" i="19"/>
  <c r="E29" i="19" s="1"/>
  <c r="S7" i="19"/>
  <c r="E27" i="19" s="1"/>
  <c r="R20" i="19"/>
  <c r="E17" i="19" s="1"/>
  <c r="R9" i="19"/>
  <c r="E6" i="19" s="1"/>
  <c r="R14" i="19"/>
  <c r="E11" i="19" s="1"/>
  <c r="E46" i="12"/>
  <c r="G46" i="12" s="1"/>
  <c r="E45" i="12"/>
  <c r="G45" i="12" s="1"/>
  <c r="E44" i="12"/>
  <c r="G44" i="12" s="1"/>
  <c r="E43" i="12"/>
  <c r="G43" i="12" s="1"/>
  <c r="E42" i="12"/>
  <c r="G42" i="12" s="1"/>
  <c r="E41" i="12"/>
  <c r="G41" i="12" s="1"/>
  <c r="E40" i="12"/>
  <c r="G40" i="12" s="1"/>
  <c r="E39" i="12"/>
  <c r="G39" i="12" s="1"/>
  <c r="E38" i="12"/>
  <c r="G38" i="12" s="1"/>
  <c r="E37" i="12"/>
  <c r="G37" i="12" s="1"/>
  <c r="E36" i="12"/>
  <c r="G36" i="12" s="1"/>
  <c r="E35" i="12"/>
  <c r="G35" i="12" s="1"/>
  <c r="E34" i="12"/>
  <c r="G34" i="12" s="1"/>
  <c r="E33" i="12"/>
  <c r="G33" i="12" s="1"/>
  <c r="E32" i="12"/>
  <c r="G32" i="12" s="1"/>
  <c r="E31" i="12"/>
  <c r="G31" i="12" s="1"/>
  <c r="E30" i="12"/>
  <c r="G30" i="12" s="1"/>
  <c r="E29" i="12"/>
  <c r="G29" i="12" s="1"/>
  <c r="E28" i="12"/>
  <c r="G28" i="12" s="1"/>
  <c r="E27" i="12"/>
  <c r="G27" i="12" s="1"/>
  <c r="E26" i="12"/>
  <c r="G26" i="12" s="1"/>
  <c r="E25" i="12"/>
  <c r="G25" i="12" s="1"/>
  <c r="E24" i="12"/>
  <c r="G24" i="12" s="1"/>
  <c r="E23" i="12"/>
  <c r="G23" i="12" s="1"/>
  <c r="E22" i="12"/>
  <c r="G22" i="12" s="1"/>
  <c r="E21" i="12"/>
  <c r="G21" i="12" s="1"/>
  <c r="E20" i="12"/>
  <c r="G20" i="12" s="1"/>
  <c r="E19" i="12"/>
  <c r="G19" i="12" s="1"/>
  <c r="E18" i="12"/>
  <c r="G18" i="12" s="1"/>
  <c r="E17" i="12"/>
  <c r="G17" i="12" s="1"/>
  <c r="E16" i="12"/>
  <c r="G16" i="12" s="1"/>
  <c r="E15" i="12"/>
  <c r="G15" i="12" s="1"/>
  <c r="E14" i="12"/>
  <c r="G14" i="12" s="1"/>
  <c r="E13" i="12"/>
  <c r="G13" i="12" s="1"/>
  <c r="E12" i="12"/>
  <c r="G12" i="12" s="1"/>
  <c r="E11" i="12"/>
  <c r="G11" i="12" s="1"/>
  <c r="E10" i="12"/>
  <c r="G10" i="12" s="1"/>
  <c r="E9" i="12"/>
  <c r="G9" i="12" s="1"/>
  <c r="E8" i="12"/>
  <c r="G8" i="12" s="1"/>
  <c r="E7" i="12"/>
  <c r="G7" i="12" s="1"/>
  <c r="E6" i="12"/>
  <c r="G6" i="12" s="1"/>
  <c r="E5" i="12"/>
  <c r="G5" i="12" s="1"/>
  <c r="E4" i="12"/>
  <c r="G4" i="12" s="1"/>
  <c r="E3" i="12"/>
  <c r="G3" i="12" s="1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44" i="6"/>
  <c r="A27" i="6"/>
  <c r="A28" i="6"/>
  <c r="A41" i="6"/>
  <c r="A29" i="6"/>
  <c r="A36" i="6"/>
  <c r="A35" i="6"/>
  <c r="A45" i="6"/>
  <c r="A5" i="6"/>
  <c r="A25" i="6"/>
  <c r="A69" i="6"/>
  <c r="A46" i="6"/>
  <c r="A38" i="6"/>
  <c r="A33" i="6"/>
  <c r="A26" i="6"/>
  <c r="A39" i="6"/>
  <c r="A37" i="6"/>
  <c r="A34" i="6"/>
  <c r="A9" i="6"/>
  <c r="A42" i="6"/>
  <c r="A32" i="6"/>
  <c r="A43" i="6"/>
  <c r="A31" i="6"/>
  <c r="A51" i="6"/>
  <c r="A30" i="6"/>
  <c r="A40" i="6"/>
  <c r="E52" i="12" l="1"/>
  <c r="G52" i="12" s="1"/>
  <c r="E53" i="12"/>
  <c r="G53" i="12" s="1"/>
  <c r="E65" i="12"/>
  <c r="G65" i="12" s="1"/>
  <c r="E82" i="12"/>
  <c r="G82" i="12" s="1"/>
  <c r="E83" i="12"/>
  <c r="G83" i="12" s="1"/>
  <c r="E70" i="12"/>
  <c r="G70" i="12" s="1"/>
  <c r="E76" i="12"/>
  <c r="G76" i="12" s="1"/>
  <c r="E71" i="12"/>
  <c r="G71" i="12" s="1"/>
  <c r="E75" i="12"/>
  <c r="G75" i="12" s="1"/>
  <c r="E51" i="12"/>
  <c r="G51" i="12" s="1"/>
  <c r="E77" i="12"/>
  <c r="G77" i="12" s="1"/>
  <c r="E58" i="12"/>
  <c r="G58" i="12" s="1"/>
  <c r="E59" i="12"/>
  <c r="G59" i="12" s="1"/>
  <c r="E63" i="12"/>
  <c r="G63" i="12" s="1"/>
  <c r="E89" i="12"/>
  <c r="G89" i="12" s="1"/>
  <c r="E87" i="12"/>
  <c r="G87" i="12" s="1"/>
  <c r="E88" i="12"/>
  <c r="G88" i="12" s="1"/>
  <c r="E64" i="12"/>
  <c r="G64" i="12" s="1"/>
  <c r="E48" i="12"/>
  <c r="G48" i="12" s="1"/>
  <c r="E60" i="12"/>
  <c r="G60" i="12" s="1"/>
  <c r="E72" i="12"/>
  <c r="G72" i="12" s="1"/>
  <c r="E84" i="12"/>
  <c r="G84" i="12" s="1"/>
  <c r="E49" i="12"/>
  <c r="G49" i="12" s="1"/>
  <c r="E61" i="12"/>
  <c r="G61" i="12" s="1"/>
  <c r="E73" i="12"/>
  <c r="G73" i="12" s="1"/>
  <c r="E85" i="12"/>
  <c r="G85" i="12" s="1"/>
  <c r="E50" i="12"/>
  <c r="G50" i="12" s="1"/>
  <c r="E62" i="12"/>
  <c r="G62" i="12" s="1"/>
  <c r="E74" i="12"/>
  <c r="G74" i="12" s="1"/>
  <c r="E86" i="12"/>
  <c r="G86" i="12" s="1"/>
  <c r="E54" i="12"/>
  <c r="G54" i="12" s="1"/>
  <c r="E66" i="12"/>
  <c r="G66" i="12" s="1"/>
  <c r="E78" i="12"/>
  <c r="G78" i="12" s="1"/>
  <c r="E90" i="12"/>
  <c r="G90" i="12" s="1"/>
  <c r="E55" i="12"/>
  <c r="G55" i="12" s="1"/>
  <c r="E67" i="12"/>
  <c r="G67" i="12" s="1"/>
  <c r="E79" i="12"/>
  <c r="G79" i="12" s="1"/>
  <c r="E91" i="12"/>
  <c r="G91" i="12" s="1"/>
  <c r="E56" i="12"/>
  <c r="G56" i="12" s="1"/>
  <c r="E68" i="12"/>
  <c r="G68" i="12" s="1"/>
  <c r="E80" i="12"/>
  <c r="G80" i="12" s="1"/>
  <c r="E57" i="12"/>
  <c r="G57" i="12" s="1"/>
  <c r="E69" i="12"/>
  <c r="G69" i="12" s="1"/>
  <c r="E81" i="12"/>
  <c r="G81" i="12" s="1"/>
  <c r="T29" i="19"/>
  <c r="S29" i="19"/>
  <c r="R29" i="19"/>
  <c r="F9" i="13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G30" i="4" l="1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O46" i="6"/>
  <c r="A67" i="6"/>
  <c r="R69" i="6"/>
  <c r="X51" i="6"/>
  <c r="X41" i="6"/>
  <c r="A21" i="6"/>
  <c r="A18" i="6"/>
  <c r="AC9" i="6"/>
  <c r="J51" i="6"/>
  <c r="A53" i="6"/>
  <c r="AB31" i="6"/>
  <c r="AB28" i="6"/>
  <c r="R41" i="6"/>
  <c r="Y34" i="6"/>
  <c r="J33" i="6"/>
  <c r="R33" i="6"/>
  <c r="L37" i="6"/>
  <c r="W51" i="6"/>
  <c r="H32" i="6"/>
  <c r="M32" i="6"/>
  <c r="R28" i="6"/>
  <c r="G35" i="6"/>
  <c r="D35" i="6"/>
  <c r="AA36" i="6"/>
  <c r="J28" i="6"/>
  <c r="F31" i="6"/>
  <c r="Q25" i="6"/>
  <c r="H9" i="6"/>
  <c r="W46" i="6"/>
  <c r="P34" i="6"/>
  <c r="Y37" i="6"/>
  <c r="F28" i="6"/>
  <c r="V34" i="6"/>
  <c r="I51" i="6"/>
  <c r="K37" i="6"/>
  <c r="Q5" i="6"/>
  <c r="F36" i="6"/>
  <c r="E36" i="6"/>
  <c r="V35" i="6"/>
  <c r="Y36" i="6"/>
  <c r="F51" i="6"/>
  <c r="W33" i="6"/>
  <c r="N37" i="6"/>
  <c r="W25" i="6"/>
  <c r="S69" i="6"/>
  <c r="H51" i="6"/>
  <c r="Y51" i="6"/>
  <c r="A66" i="6"/>
  <c r="S46" i="6"/>
  <c r="V46" i="6"/>
  <c r="R25" i="6"/>
  <c r="AD51" i="6"/>
  <c r="S31" i="6"/>
  <c r="O27" i="6"/>
  <c r="M28" i="6"/>
  <c r="X33" i="6"/>
  <c r="X36" i="6"/>
  <c r="T9" i="6"/>
  <c r="AA28" i="6"/>
  <c r="K31" i="6"/>
  <c r="I35" i="6"/>
  <c r="AB33" i="6"/>
  <c r="H33" i="6"/>
  <c r="Z28" i="6"/>
  <c r="R31" i="6"/>
  <c r="P36" i="6"/>
  <c r="P27" i="6"/>
  <c r="G46" i="6"/>
  <c r="I25" i="6"/>
  <c r="AB36" i="6"/>
  <c r="V26" i="6"/>
  <c r="Z37" i="6"/>
  <c r="AA51" i="6"/>
  <c r="I69" i="6"/>
  <c r="AC46" i="6"/>
  <c r="Y46" i="6"/>
  <c r="A14" i="6"/>
  <c r="A7" i="6"/>
  <c r="A6" i="6"/>
  <c r="S26" i="6"/>
  <c r="Z32" i="6"/>
  <c r="E37" i="6"/>
  <c r="G25" i="6"/>
  <c r="G69" i="6"/>
  <c r="F69" i="6"/>
  <c r="U9" i="6"/>
  <c r="D41" i="6"/>
  <c r="G51" i="6"/>
  <c r="N32" i="6"/>
  <c r="H34" i="6"/>
  <c r="Y41" i="6"/>
  <c r="Q32" i="6"/>
  <c r="AA9" i="6"/>
  <c r="K35" i="6"/>
  <c r="K25" i="6"/>
  <c r="J27" i="6"/>
  <c r="Q36" i="6"/>
  <c r="AB9" i="6"/>
  <c r="AB37" i="6"/>
  <c r="F34" i="6"/>
  <c r="M5" i="6"/>
  <c r="L28" i="6"/>
  <c r="T28" i="6"/>
  <c r="X37" i="6"/>
  <c r="M41" i="6"/>
  <c r="P5" i="6"/>
  <c r="U25" i="6"/>
  <c r="V25" i="6"/>
  <c r="L31" i="6"/>
  <c r="Q51" i="6"/>
  <c r="F46" i="6"/>
  <c r="F37" i="6"/>
  <c r="K34" i="6"/>
  <c r="A57" i="6"/>
  <c r="U5" i="6"/>
  <c r="Y28" i="6"/>
  <c r="Z25" i="6"/>
  <c r="G41" i="6"/>
  <c r="E34" i="6"/>
  <c r="Y32" i="6"/>
  <c r="H26" i="6"/>
  <c r="Y35" i="6"/>
  <c r="D5" i="6"/>
  <c r="X28" i="6"/>
  <c r="W27" i="6"/>
  <c r="V27" i="6"/>
  <c r="AB26" i="6"/>
  <c r="Q69" i="6"/>
  <c r="Q46" i="6"/>
  <c r="M9" i="6"/>
  <c r="A19" i="6"/>
  <c r="E69" i="6"/>
  <c r="R27" i="6"/>
  <c r="H46" i="6"/>
  <c r="M69" i="6"/>
  <c r="E46" i="6"/>
  <c r="F9" i="6"/>
  <c r="H5" i="6"/>
  <c r="U46" i="6"/>
  <c r="J32" i="6"/>
  <c r="AA31" i="6"/>
  <c r="AC51" i="6"/>
  <c r="Y27" i="6"/>
  <c r="E5" i="6"/>
  <c r="A64" i="6"/>
  <c r="E25" i="6"/>
  <c r="I28" i="6"/>
  <c r="AB41" i="6"/>
  <c r="W31" i="6"/>
  <c r="O41" i="6"/>
  <c r="Y25" i="6"/>
  <c r="R36" i="6"/>
  <c r="D31" i="6"/>
  <c r="W41" i="6"/>
  <c r="W32" i="6"/>
  <c r="T26" i="6"/>
  <c r="G32" i="6"/>
  <c r="W28" i="6"/>
  <c r="E28" i="6"/>
  <c r="U41" i="6"/>
  <c r="S41" i="6"/>
  <c r="G26" i="6"/>
  <c r="P33" i="6"/>
  <c r="L36" i="6"/>
  <c r="Q31" i="6"/>
  <c r="V36" i="6"/>
  <c r="O25" i="6"/>
  <c r="Q33" i="6"/>
  <c r="E33" i="6"/>
  <c r="Q28" i="6"/>
  <c r="K26" i="6"/>
  <c r="M26" i="6"/>
  <c r="S35" i="6"/>
  <c r="N33" i="6"/>
  <c r="L34" i="6"/>
  <c r="U36" i="6"/>
  <c r="U32" i="6"/>
  <c r="Z51" i="6"/>
  <c r="X46" i="6"/>
  <c r="Z9" i="6"/>
  <c r="H27" i="6"/>
  <c r="A62" i="6"/>
  <c r="A58" i="6"/>
  <c r="P9" i="6"/>
  <c r="D69" i="6"/>
  <c r="A63" i="6"/>
  <c r="V51" i="6"/>
  <c r="AD46" i="6"/>
  <c r="R9" i="6"/>
  <c r="V69" i="6"/>
  <c r="N28" i="6"/>
  <c r="J37" i="6"/>
  <c r="A23" i="6"/>
  <c r="A12" i="6"/>
  <c r="F33" i="6"/>
  <c r="P51" i="6"/>
  <c r="O36" i="6"/>
  <c r="AB35" i="6"/>
  <c r="F41" i="6"/>
  <c r="I9" i="6"/>
  <c r="H41" i="6"/>
  <c r="O26" i="6"/>
  <c r="G34" i="6"/>
  <c r="V9" i="6"/>
  <c r="T36" i="6"/>
  <c r="J25" i="6"/>
  <c r="P69" i="6"/>
  <c r="E31" i="6"/>
  <c r="N31" i="6"/>
  <c r="F25" i="6"/>
  <c r="G28" i="6"/>
  <c r="G27" i="6"/>
  <c r="N26" i="6"/>
  <c r="Q34" i="6"/>
  <c r="V41" i="6"/>
  <c r="Q37" i="6"/>
  <c r="R35" i="6"/>
  <c r="E41" i="6"/>
  <c r="AA46" i="6"/>
  <c r="Y31" i="6"/>
  <c r="A54" i="6"/>
  <c r="R32" i="6"/>
  <c r="S9" i="6"/>
  <c r="V5" i="6"/>
  <c r="X32" i="6"/>
  <c r="O34" i="6"/>
  <c r="N27" i="6"/>
  <c r="AB51" i="6"/>
  <c r="K46" i="6"/>
  <c r="Q9" i="6"/>
  <c r="AA69" i="6"/>
  <c r="AD5" i="6"/>
  <c r="J46" i="6"/>
  <c r="A22" i="6"/>
  <c r="T25" i="6"/>
  <c r="A11" i="6"/>
  <c r="AA26" i="6"/>
  <c r="M35" i="6"/>
  <c r="E51" i="6"/>
  <c r="D33" i="6"/>
  <c r="O28" i="6"/>
  <c r="J26" i="6"/>
  <c r="G36" i="6"/>
  <c r="O69" i="6"/>
  <c r="A60" i="6"/>
  <c r="K36" i="6"/>
  <c r="S36" i="6"/>
  <c r="AA32" i="6"/>
  <c r="S34" i="6"/>
  <c r="A20" i="6"/>
  <c r="S33" i="6"/>
  <c r="W5" i="6"/>
  <c r="A68" i="6"/>
  <c r="U27" i="6"/>
  <c r="AB25" i="6"/>
  <c r="K27" i="6"/>
  <c r="D28" i="6"/>
  <c r="I26" i="6"/>
  <c r="AA41" i="6"/>
  <c r="O33" i="6"/>
  <c r="U26" i="6"/>
  <c r="X27" i="6"/>
  <c r="V37" i="6"/>
  <c r="H37" i="6"/>
  <c r="J9" i="6"/>
  <c r="L5" i="6"/>
  <c r="Y33" i="6"/>
  <c r="W9" i="6"/>
  <c r="A61" i="6"/>
  <c r="U33" i="6"/>
  <c r="T33" i="6"/>
  <c r="I5" i="6"/>
  <c r="D26" i="6"/>
  <c r="M46" i="6"/>
  <c r="N69" i="6"/>
  <c r="H25" i="6"/>
  <c r="U28" i="6"/>
  <c r="AA5" i="6"/>
  <c r="Z31" i="6"/>
  <c r="J5" i="6"/>
  <c r="T41" i="6"/>
  <c r="A50" i="6"/>
  <c r="H36" i="6"/>
  <c r="AD9" i="6"/>
  <c r="E35" i="6"/>
  <c r="T31" i="6"/>
  <c r="W26" i="6"/>
  <c r="A52" i="6"/>
  <c r="AC5" i="6"/>
  <c r="K5" i="6"/>
  <c r="O32" i="6"/>
  <c r="T46" i="6"/>
  <c r="L69" i="6"/>
  <c r="A55" i="6"/>
  <c r="AB34" i="6"/>
  <c r="A65" i="6"/>
  <c r="E32" i="6"/>
  <c r="R26" i="6"/>
  <c r="H35" i="6"/>
  <c r="A16" i="6"/>
  <c r="S27" i="6"/>
  <c r="N51" i="6"/>
  <c r="S32" i="6"/>
  <c r="M51" i="6"/>
  <c r="G31" i="6"/>
  <c r="I34" i="6"/>
  <c r="O35" i="6"/>
  <c r="K69" i="6"/>
  <c r="Z27" i="6"/>
  <c r="G33" i="6"/>
  <c r="U37" i="6"/>
  <c r="M36" i="6"/>
  <c r="Y26" i="6"/>
  <c r="H28" i="6"/>
  <c r="P26" i="6"/>
  <c r="S25" i="6"/>
  <c r="X26" i="6"/>
  <c r="W34" i="6"/>
  <c r="P41" i="6"/>
  <c r="X9" i="6"/>
  <c r="Y5" i="6"/>
  <c r="N34" i="6"/>
  <c r="D34" i="6"/>
  <c r="L33" i="6"/>
  <c r="AB5" i="6"/>
  <c r="K32" i="6"/>
  <c r="L41" i="6"/>
  <c r="Z26" i="6"/>
  <c r="AC69" i="6"/>
  <c r="L26" i="6"/>
  <c r="E27" i="6"/>
  <c r="X31" i="6"/>
  <c r="AA27" i="6"/>
  <c r="P28" i="6"/>
  <c r="N5" i="6"/>
  <c r="R34" i="6"/>
  <c r="O9" i="6"/>
  <c r="AB46" i="6"/>
  <c r="R46" i="6"/>
  <c r="P37" i="6"/>
  <c r="X69" i="6"/>
  <c r="W36" i="6"/>
  <c r="J35" i="6"/>
  <c r="R37" i="6"/>
  <c r="F32" i="6"/>
  <c r="A3" i="6"/>
  <c r="N41" i="6"/>
  <c r="D9" i="6"/>
  <c r="Z35" i="6"/>
  <c r="Q35" i="6"/>
  <c r="J34" i="6"/>
  <c r="K28" i="6"/>
  <c r="U51" i="6"/>
  <c r="W69" i="6"/>
  <c r="Y9" i="6"/>
  <c r="A10" i="6"/>
  <c r="A8" i="6"/>
  <c r="L51" i="6"/>
  <c r="A2" i="6"/>
  <c r="J36" i="6"/>
  <c r="Y69" i="6"/>
  <c r="Z36" i="6"/>
  <c r="U69" i="6"/>
  <c r="K9" i="6"/>
  <c r="J41" i="6"/>
  <c r="A15" i="6"/>
  <c r="Q27" i="6"/>
  <c r="Q41" i="6"/>
  <c r="R51" i="6"/>
  <c r="AB32" i="6"/>
  <c r="U31" i="6"/>
  <c r="A49" i="6"/>
  <c r="V33" i="6"/>
  <c r="L32" i="6"/>
  <c r="D36" i="6"/>
  <c r="Z41" i="6"/>
  <c r="D25" i="6"/>
  <c r="Q26" i="6"/>
  <c r="T34" i="6"/>
  <c r="P35" i="6"/>
  <c r="K41" i="6"/>
  <c r="L27" i="6"/>
  <c r="N9" i="6"/>
  <c r="P25" i="6"/>
  <c r="G37" i="6"/>
  <c r="K33" i="6"/>
  <c r="Z34" i="6"/>
  <c r="L35" i="6"/>
  <c r="X5" i="6"/>
  <c r="D51" i="6"/>
  <c r="J69" i="6"/>
  <c r="W37" i="6"/>
  <c r="R5" i="6"/>
  <c r="I46" i="6"/>
  <c r="Z46" i="6"/>
  <c r="O51" i="6"/>
  <c r="G5" i="6"/>
  <c r="T51" i="6"/>
  <c r="N36" i="6"/>
  <c r="T27" i="6"/>
  <c r="N35" i="6"/>
  <c r="S37" i="6"/>
  <c r="P46" i="6"/>
  <c r="F26" i="6"/>
  <c r="T37" i="6"/>
  <c r="A56" i="6"/>
  <c r="S51" i="6"/>
  <c r="T35" i="6"/>
  <c r="I33" i="6"/>
  <c r="U35" i="6"/>
  <c r="X25" i="6"/>
  <c r="M34" i="6"/>
  <c r="U34" i="6"/>
  <c r="G9" i="6"/>
  <c r="Z5" i="6"/>
  <c r="J31" i="6"/>
  <c r="F27" i="6"/>
  <c r="AB69" i="6"/>
  <c r="I41" i="6"/>
  <c r="K51" i="6"/>
  <c r="M37" i="6"/>
  <c r="H31" i="6"/>
  <c r="I31" i="6"/>
  <c r="I37" i="6"/>
  <c r="L46" i="6"/>
  <c r="O37" i="6"/>
  <c r="Z69" i="6"/>
  <c r="D46" i="6"/>
  <c r="T5" i="6"/>
  <c r="N25" i="6"/>
  <c r="X35" i="6"/>
  <c r="A4" i="6"/>
  <c r="A59" i="6"/>
  <c r="M31" i="6"/>
  <c r="AD69" i="6"/>
  <c r="O5" i="6"/>
  <c r="A13" i="6"/>
  <c r="O31" i="6"/>
  <c r="AA37" i="6"/>
  <c r="A48" i="6"/>
  <c r="N46" i="6"/>
  <c r="AA34" i="6"/>
  <c r="H69" i="6"/>
  <c r="V32" i="6"/>
  <c r="I36" i="6"/>
  <c r="P32" i="6"/>
  <c r="AA25" i="6"/>
  <c r="M25" i="6"/>
  <c r="AA35" i="6"/>
  <c r="L9" i="6"/>
  <c r="M33" i="6"/>
  <c r="D27" i="6"/>
  <c r="T32" i="6"/>
  <c r="AA33" i="6"/>
  <c r="W35" i="6"/>
  <c r="E26" i="6"/>
  <c r="D32" i="6"/>
  <c r="A17" i="6"/>
  <c r="F5" i="6"/>
  <c r="S28" i="6"/>
  <c r="AB27" i="6"/>
  <c r="I32" i="6"/>
  <c r="S5" i="6"/>
  <c r="P31" i="6"/>
  <c r="M27" i="6"/>
  <c r="T69" i="6"/>
  <c r="V31" i="6"/>
  <c r="V28" i="6"/>
  <c r="E9" i="6"/>
  <c r="L25" i="6"/>
  <c r="D37" i="6"/>
  <c r="I27" i="6"/>
  <c r="W50" i="5" l="1"/>
  <c r="W52" i="5"/>
  <c r="W51" i="5"/>
  <c r="AG22" i="5"/>
  <c r="AH22" i="5" s="1"/>
  <c r="AG26" i="5"/>
  <c r="AH26" i="5" s="1"/>
  <c r="H55" i="5"/>
  <c r="H56" i="5"/>
  <c r="H54" i="5"/>
  <c r="H53" i="5"/>
  <c r="AD55" i="5"/>
  <c r="AD54" i="5"/>
  <c r="AD53" i="5"/>
  <c r="AD56" i="5"/>
  <c r="AA51" i="5"/>
  <c r="AA50" i="5"/>
  <c r="AA52" i="5"/>
  <c r="E184" i="8"/>
  <c r="G184" i="8" s="1"/>
  <c r="E246" i="8"/>
  <c r="G246" i="8" s="1"/>
  <c r="H49" i="5"/>
  <c r="H48" i="5"/>
  <c r="W56" i="5"/>
  <c r="W54" i="5"/>
  <c r="W53" i="5"/>
  <c r="W55" i="5"/>
  <c r="G55" i="5"/>
  <c r="G54" i="5"/>
  <c r="G53" i="5"/>
  <c r="G56" i="5"/>
  <c r="F51" i="5"/>
  <c r="F52" i="5"/>
  <c r="F50" i="5"/>
  <c r="I53" i="5"/>
  <c r="I55" i="5"/>
  <c r="I54" i="5"/>
  <c r="I56" i="5"/>
  <c r="M56" i="5"/>
  <c r="M55" i="5"/>
  <c r="M54" i="5"/>
  <c r="M53" i="5"/>
  <c r="E157" i="8"/>
  <c r="G157" i="8" s="1"/>
  <c r="M49" i="5"/>
  <c r="M48" i="5"/>
  <c r="M52" i="5"/>
  <c r="M50" i="5"/>
  <c r="M51" i="5"/>
  <c r="AG7" i="5"/>
  <c r="AG14" i="5"/>
  <c r="AG37" i="5"/>
  <c r="AH37" i="5" s="1"/>
  <c r="AG24" i="5"/>
  <c r="AH24" i="5" s="1"/>
  <c r="Y50" i="5"/>
  <c r="Y52" i="5"/>
  <c r="Y51" i="5"/>
  <c r="J52" i="5"/>
  <c r="J51" i="5"/>
  <c r="J50" i="5"/>
  <c r="Q48" i="5"/>
  <c r="Q49" i="5"/>
  <c r="N53" i="5"/>
  <c r="N56" i="5"/>
  <c r="N55" i="5"/>
  <c r="N54" i="5"/>
  <c r="P48" i="5"/>
  <c r="P49" i="5"/>
  <c r="Q52" i="5"/>
  <c r="Q51" i="5"/>
  <c r="Q50" i="5"/>
  <c r="I50" i="5"/>
  <c r="I52" i="5"/>
  <c r="I51" i="5"/>
  <c r="AD52" i="5"/>
  <c r="AD51" i="5"/>
  <c r="AD50" i="5"/>
  <c r="Z49" i="5"/>
  <c r="Z48" i="5"/>
  <c r="AF48" i="5"/>
  <c r="AG15" i="5"/>
  <c r="AH15" i="5" s="1"/>
  <c r="AH48" i="5" s="1"/>
  <c r="AF49" i="5"/>
  <c r="X48" i="5"/>
  <c r="X49" i="5"/>
  <c r="AG42" i="5"/>
  <c r="AH42" i="5" s="1"/>
  <c r="E54" i="8"/>
  <c r="G54" i="8" s="1"/>
  <c r="AG44" i="5"/>
  <c r="AH44" i="5" s="1"/>
  <c r="E268" i="8"/>
  <c r="G268" i="8" s="1"/>
  <c r="R49" i="5"/>
  <c r="R48" i="5"/>
  <c r="AG12" i="5"/>
  <c r="J48" i="5"/>
  <c r="J49" i="5"/>
  <c r="AG33" i="5"/>
  <c r="AH33" i="5" s="1"/>
  <c r="U52" i="5"/>
  <c r="U51" i="5"/>
  <c r="U50" i="5"/>
  <c r="L56" i="5"/>
  <c r="L55" i="5"/>
  <c r="L54" i="5"/>
  <c r="L53" i="5"/>
  <c r="E179" i="8"/>
  <c r="G179" i="8" s="1"/>
  <c r="AG31" i="5"/>
  <c r="AH31" i="5" s="1"/>
  <c r="G52" i="5"/>
  <c r="G50" i="5"/>
  <c r="G51" i="5"/>
  <c r="L49" i="5"/>
  <c r="L48" i="5"/>
  <c r="AG21" i="5"/>
  <c r="AE50" i="5"/>
  <c r="AE51" i="5"/>
  <c r="AE52" i="5"/>
  <c r="X56" i="5"/>
  <c r="X54" i="5"/>
  <c r="X55" i="5"/>
  <c r="X53" i="5"/>
  <c r="O54" i="5"/>
  <c r="O56" i="5"/>
  <c r="O55" i="5"/>
  <c r="O53" i="5"/>
  <c r="AG8" i="5"/>
  <c r="AB52" i="5"/>
  <c r="AB51" i="5"/>
  <c r="AB50" i="5"/>
  <c r="J55" i="5"/>
  <c r="J54" i="5"/>
  <c r="J56" i="5"/>
  <c r="J53" i="5"/>
  <c r="T52" i="5"/>
  <c r="T51" i="5"/>
  <c r="T50" i="5"/>
  <c r="U56" i="5"/>
  <c r="U53" i="5"/>
  <c r="U54" i="5"/>
  <c r="U55" i="5"/>
  <c r="AG40" i="5"/>
  <c r="AH40" i="5" s="1"/>
  <c r="E113" i="8"/>
  <c r="G113" i="8" s="1"/>
  <c r="AG29" i="5"/>
  <c r="AH29" i="5" s="1"/>
  <c r="I48" i="5"/>
  <c r="I49" i="5"/>
  <c r="AG30" i="5"/>
  <c r="AH30" i="5" s="1"/>
  <c r="E135" i="8"/>
  <c r="G135" i="8" s="1"/>
  <c r="E224" i="8"/>
  <c r="G224" i="8" s="1"/>
  <c r="T48" i="5"/>
  <c r="T49" i="5"/>
  <c r="S49" i="5"/>
  <c r="S48" i="5"/>
  <c r="F54" i="5"/>
  <c r="F56" i="5"/>
  <c r="F53" i="5"/>
  <c r="F55" i="5"/>
  <c r="Z54" i="5"/>
  <c r="Z53" i="5"/>
  <c r="Z56" i="5"/>
  <c r="Z55" i="5"/>
  <c r="T54" i="5"/>
  <c r="T53" i="5"/>
  <c r="T55" i="5"/>
  <c r="T56" i="5"/>
  <c r="AG38" i="5"/>
  <c r="X51" i="5"/>
  <c r="X52" i="5"/>
  <c r="X50" i="5"/>
  <c r="AG43" i="5"/>
  <c r="AH43" i="5" s="1"/>
  <c r="K51" i="5"/>
  <c r="K50" i="5"/>
  <c r="K52" i="5"/>
  <c r="AG5" i="5"/>
  <c r="F48" i="5"/>
  <c r="F49" i="5"/>
  <c r="E50" i="8"/>
  <c r="G50" i="8" s="1"/>
  <c r="AG16" i="5"/>
  <c r="AH16" i="5" s="1"/>
  <c r="AG18" i="5"/>
  <c r="AH18" i="5" s="1"/>
  <c r="AG39" i="5"/>
  <c r="AH39" i="5" s="1"/>
  <c r="E228" i="8"/>
  <c r="G228" i="8" s="1"/>
  <c r="AD49" i="5"/>
  <c r="AD48" i="5"/>
  <c r="V48" i="5"/>
  <c r="V49" i="5"/>
  <c r="G49" i="5"/>
  <c r="G48" i="5"/>
  <c r="AG27" i="5"/>
  <c r="AB53" i="5"/>
  <c r="AB54" i="5"/>
  <c r="AB56" i="5"/>
  <c r="AB55" i="5"/>
  <c r="O52" i="5"/>
  <c r="O51" i="5"/>
  <c r="O50" i="5"/>
  <c r="AE48" i="5"/>
  <c r="AE49" i="5"/>
  <c r="L50" i="5"/>
  <c r="L52" i="5"/>
  <c r="L51" i="5"/>
  <c r="AG20" i="5"/>
  <c r="AH20" i="5" s="1"/>
  <c r="E76" i="8"/>
  <c r="G76" i="8" s="1"/>
  <c r="S51" i="5"/>
  <c r="S50" i="5"/>
  <c r="S52" i="5"/>
  <c r="S55" i="5"/>
  <c r="S54" i="5"/>
  <c r="S53" i="5"/>
  <c r="S56" i="5"/>
  <c r="AG11" i="5"/>
  <c r="AH11" i="5" s="1"/>
  <c r="O49" i="5"/>
  <c r="O48" i="5"/>
  <c r="P51" i="5"/>
  <c r="P50" i="5"/>
  <c r="P52" i="5"/>
  <c r="AG17" i="5"/>
  <c r="Z52" i="5"/>
  <c r="Z50" i="5"/>
  <c r="Z51" i="5"/>
  <c r="R52" i="5"/>
  <c r="R51" i="5"/>
  <c r="R50" i="5"/>
  <c r="K48" i="5"/>
  <c r="K49" i="5"/>
  <c r="E72" i="8"/>
  <c r="G72" i="8" s="1"/>
  <c r="AG28" i="5"/>
  <c r="AH28" i="5" s="1"/>
  <c r="H52" i="5"/>
  <c r="H51" i="5"/>
  <c r="H50" i="5"/>
  <c r="AC49" i="5"/>
  <c r="AC48" i="5"/>
  <c r="AG34" i="5"/>
  <c r="AH34" i="5" s="1"/>
  <c r="V55" i="5"/>
  <c r="V53" i="5"/>
  <c r="V56" i="5"/>
  <c r="V54" i="5"/>
  <c r="Q54" i="5"/>
  <c r="Q53" i="5"/>
  <c r="Q56" i="5"/>
  <c r="Q55" i="5"/>
  <c r="AG32" i="5"/>
  <c r="AH32" i="5" s="1"/>
  <c r="AG36" i="5"/>
  <c r="AA53" i="5"/>
  <c r="AA56" i="5"/>
  <c r="AA55" i="5"/>
  <c r="AA54" i="5"/>
  <c r="E202" i="8"/>
  <c r="G202" i="8" s="1"/>
  <c r="AG41" i="5"/>
  <c r="AH41" i="5" s="1"/>
  <c r="AF23" i="5"/>
  <c r="AG23" i="5" s="1"/>
  <c r="AH23" i="5" s="1"/>
  <c r="E250" i="8"/>
  <c r="G250" i="8" s="1"/>
  <c r="R56" i="5"/>
  <c r="R55" i="5"/>
  <c r="R54" i="5"/>
  <c r="R53" i="5"/>
  <c r="N52" i="5"/>
  <c r="N51" i="5"/>
  <c r="N50" i="5"/>
  <c r="K55" i="5"/>
  <c r="K54" i="5"/>
  <c r="K56" i="5"/>
  <c r="K53" i="5"/>
  <c r="W49" i="5"/>
  <c r="W48" i="5"/>
  <c r="V52" i="5"/>
  <c r="V51" i="5"/>
  <c r="V50" i="5"/>
  <c r="U49" i="5"/>
  <c r="U48" i="5"/>
  <c r="AE56" i="5"/>
  <c r="AE53" i="5"/>
  <c r="AE54" i="5"/>
  <c r="AE55" i="5"/>
  <c r="AG10" i="5"/>
  <c r="AH10" i="5" s="1"/>
  <c r="AB48" i="5"/>
  <c r="AB49" i="5"/>
  <c r="N48" i="5"/>
  <c r="N49" i="5"/>
  <c r="AF53" i="5"/>
  <c r="AF54" i="5"/>
  <c r="AF56" i="5"/>
  <c r="AG9" i="5"/>
  <c r="AH9" i="5" s="1"/>
  <c r="AH53" i="5" s="1"/>
  <c r="AF55" i="5"/>
  <c r="E206" i="8"/>
  <c r="G206" i="8" s="1"/>
  <c r="AA49" i="5"/>
  <c r="AA48" i="5"/>
  <c r="AG45" i="5"/>
  <c r="AH45" i="5" s="1"/>
  <c r="AG35" i="5"/>
  <c r="AH35" i="5" s="1"/>
  <c r="AG25" i="5"/>
  <c r="Y53" i="5"/>
  <c r="Y55" i="5"/>
  <c r="Y56" i="5"/>
  <c r="Y54" i="5"/>
  <c r="AG19" i="5"/>
  <c r="AH19" i="5" s="1"/>
  <c r="AH51" i="5" s="1"/>
  <c r="AF50" i="5"/>
  <c r="AF51" i="5"/>
  <c r="AF52" i="5"/>
  <c r="AC52" i="5"/>
  <c r="AC51" i="5"/>
  <c r="AC50" i="5"/>
  <c r="AC56" i="5"/>
  <c r="AC55" i="5"/>
  <c r="AC54" i="5"/>
  <c r="AC53" i="5"/>
  <c r="P56" i="5"/>
  <c r="P54" i="5"/>
  <c r="P53" i="5"/>
  <c r="P55" i="5"/>
  <c r="AG13" i="5"/>
  <c r="Y49" i="5"/>
  <c r="Y48" i="5"/>
  <c r="E126" i="8"/>
  <c r="G126" i="8" s="1"/>
  <c r="E100" i="8"/>
  <c r="G100" i="8" s="1"/>
  <c r="E93" i="8"/>
  <c r="G93" i="8" s="1"/>
  <c r="E125" i="8"/>
  <c r="G125" i="8" s="1"/>
  <c r="E103" i="8"/>
  <c r="G103" i="8" s="1"/>
  <c r="E95" i="8"/>
  <c r="G95" i="8" s="1"/>
  <c r="E121" i="8"/>
  <c r="G121" i="8" s="1"/>
  <c r="E108" i="8"/>
  <c r="G108" i="8" s="1"/>
  <c r="E120" i="8"/>
  <c r="G120" i="8" s="1"/>
  <c r="E94" i="8"/>
  <c r="G94" i="8" s="1"/>
  <c r="E114" i="8"/>
  <c r="G114" i="8" s="1"/>
  <c r="E101" i="8"/>
  <c r="G101" i="8" s="1"/>
  <c r="E124" i="8"/>
  <c r="G124" i="8" s="1"/>
  <c r="E102" i="8"/>
  <c r="G102" i="8" s="1"/>
  <c r="E116" i="8"/>
  <c r="G116" i="8" s="1"/>
  <c r="E98" i="8"/>
  <c r="G98" i="8" s="1"/>
  <c r="E115" i="8"/>
  <c r="G115" i="8" s="1"/>
  <c r="E99" i="8"/>
  <c r="G99" i="8" s="1"/>
  <c r="E130" i="8"/>
  <c r="G130" i="8" s="1"/>
  <c r="E104" i="8"/>
  <c r="G104" i="8" s="1"/>
  <c r="E122" i="8"/>
  <c r="G122" i="8" s="1"/>
  <c r="E117" i="8"/>
  <c r="G117" i="8" s="1"/>
  <c r="E92" i="8"/>
  <c r="G92" i="8" s="1"/>
  <c r="E32" i="8"/>
  <c r="G32" i="8" s="1"/>
  <c r="E10" i="8"/>
  <c r="G10" i="8" s="1"/>
  <c r="E6" i="8"/>
  <c r="G6" i="8" s="1"/>
  <c r="E28" i="8"/>
  <c r="G28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S54" i="6"/>
  <c r="K39" i="6"/>
  <c r="E48" i="6"/>
  <c r="K7" i="6"/>
  <c r="N19" i="6"/>
  <c r="E19" i="6"/>
  <c r="AC68" i="6"/>
  <c r="AD52" i="6"/>
  <c r="AC11" i="6"/>
  <c r="S38" i="6"/>
  <c r="M68" i="6"/>
  <c r="R2" i="6"/>
  <c r="R4" i="6"/>
  <c r="AC17" i="6"/>
  <c r="K20" i="6"/>
  <c r="AB8" i="6"/>
  <c r="F68" i="6"/>
  <c r="J23" i="6"/>
  <c r="W60" i="6"/>
  <c r="M49" i="6"/>
  <c r="S10" i="6"/>
  <c r="Y22" i="6"/>
  <c r="L63" i="6"/>
  <c r="N30" i="6"/>
  <c r="K16" i="6"/>
  <c r="AD13" i="6"/>
  <c r="U3" i="6"/>
  <c r="O57" i="6"/>
  <c r="Q16" i="6"/>
  <c r="K59" i="6"/>
  <c r="V40" i="6"/>
  <c r="P13" i="6"/>
  <c r="Z44" i="6"/>
  <c r="Y16" i="6"/>
  <c r="Y55" i="6"/>
  <c r="I38" i="6"/>
  <c r="X13" i="6"/>
  <c r="U50" i="6"/>
  <c r="AA65" i="6"/>
  <c r="E4" i="6"/>
  <c r="Q3" i="6"/>
  <c r="AC25" i="6"/>
  <c r="AA10" i="6"/>
  <c r="D43" i="6"/>
  <c r="U16" i="6"/>
  <c r="K15" i="6"/>
  <c r="H50" i="6"/>
  <c r="Y54" i="6"/>
  <c r="G8" i="6"/>
  <c r="S45" i="6"/>
  <c r="R65" i="6"/>
  <c r="AA55" i="6"/>
  <c r="D30" i="6"/>
  <c r="O52" i="6"/>
  <c r="AD19" i="6"/>
  <c r="F40" i="6"/>
  <c r="Q56" i="6"/>
  <c r="D21" i="6"/>
  <c r="I12" i="6"/>
  <c r="V50" i="6"/>
  <c r="X57" i="6"/>
  <c r="D52" i="6"/>
  <c r="T14" i="6"/>
  <c r="X59" i="6"/>
  <c r="Z15" i="6"/>
  <c r="D19" i="6"/>
  <c r="L66" i="6"/>
  <c r="AB7" i="6"/>
  <c r="I65" i="6"/>
  <c r="V52" i="6"/>
  <c r="AA62" i="6"/>
  <c r="M13" i="6"/>
  <c r="I10" i="6"/>
  <c r="Z18" i="6"/>
  <c r="Z59" i="6"/>
  <c r="W59" i="6"/>
  <c r="Y7" i="6"/>
  <c r="L60" i="6"/>
  <c r="AD8" i="6"/>
  <c r="S55" i="6"/>
  <c r="S7" i="6"/>
  <c r="S44" i="6"/>
  <c r="N63" i="6"/>
  <c r="J15" i="6"/>
  <c r="J10" i="6"/>
  <c r="P50" i="6"/>
  <c r="J57" i="6"/>
  <c r="M53" i="6"/>
  <c r="S3" i="6"/>
  <c r="AC7" i="6"/>
  <c r="D23" i="6"/>
  <c r="V61" i="6"/>
  <c r="M62" i="6"/>
  <c r="Q13" i="6"/>
  <c r="V49" i="6"/>
  <c r="T57" i="6"/>
  <c r="AC62" i="6"/>
  <c r="Q22" i="6"/>
  <c r="G60" i="6"/>
  <c r="X68" i="6"/>
  <c r="X40" i="6"/>
  <c r="X29" i="6"/>
  <c r="J59" i="6"/>
  <c r="X15" i="6"/>
  <c r="M42" i="6"/>
  <c r="P8" i="6"/>
  <c r="K13" i="6"/>
  <c r="O17" i="6"/>
  <c r="S16" i="6"/>
  <c r="Z19" i="6"/>
  <c r="AC32" i="6"/>
  <c r="P67" i="6"/>
  <c r="E62" i="6"/>
  <c r="E66" i="6"/>
  <c r="W64" i="6"/>
  <c r="Y15" i="6"/>
  <c r="M66" i="6"/>
  <c r="X62" i="6"/>
  <c r="T56" i="6"/>
  <c r="O45" i="6"/>
  <c r="J43" i="6"/>
  <c r="S57" i="6"/>
  <c r="X48" i="6"/>
  <c r="T62" i="6"/>
  <c r="L30" i="6"/>
  <c r="X18" i="6"/>
  <c r="D40" i="6"/>
  <c r="N62" i="6"/>
  <c r="F18" i="6"/>
  <c r="H30" i="6"/>
  <c r="F29" i="6"/>
  <c r="N11" i="6"/>
  <c r="F7" i="6"/>
  <c r="J53" i="6"/>
  <c r="G50" i="6"/>
  <c r="L38" i="6"/>
  <c r="F15" i="6"/>
  <c r="T48" i="6"/>
  <c r="J19" i="6"/>
  <c r="X56" i="6"/>
  <c r="U12" i="6"/>
  <c r="Y13" i="6"/>
  <c r="S30" i="6"/>
  <c r="Z40" i="6"/>
  <c r="H8" i="6"/>
  <c r="K3" i="6"/>
  <c r="E23" i="6"/>
  <c r="Q14" i="6"/>
  <c r="Q23" i="6"/>
  <c r="O11" i="6"/>
  <c r="P58" i="6"/>
  <c r="Y14" i="6"/>
  <c r="D59" i="6"/>
  <c r="V45" i="6"/>
  <c r="F23" i="6"/>
  <c r="F67" i="6"/>
  <c r="AD54" i="6"/>
  <c r="P62" i="6"/>
  <c r="W61" i="6"/>
  <c r="AA56" i="6"/>
  <c r="Q7" i="6"/>
  <c r="Q61" i="6"/>
  <c r="R48" i="6"/>
  <c r="O21" i="6"/>
  <c r="R12" i="6"/>
  <c r="D22" i="6"/>
  <c r="X67" i="6"/>
  <c r="H3" i="6"/>
  <c r="H20" i="6"/>
  <c r="W44" i="6"/>
  <c r="D61" i="6"/>
  <c r="M56" i="6"/>
  <c r="Y12" i="6"/>
  <c r="N53" i="6"/>
  <c r="H23" i="6"/>
  <c r="P30" i="6"/>
  <c r="U45" i="6"/>
  <c r="D60" i="6"/>
  <c r="F48" i="6"/>
  <c r="F21" i="6"/>
  <c r="Q45" i="6"/>
  <c r="H60" i="6"/>
  <c r="J45" i="6"/>
  <c r="I57" i="6"/>
  <c r="O2" i="6"/>
  <c r="W58" i="6"/>
  <c r="P19" i="6"/>
  <c r="L16" i="6"/>
  <c r="P16" i="6"/>
  <c r="AB39" i="6"/>
  <c r="I44" i="6"/>
  <c r="Z61" i="6"/>
  <c r="S15" i="6"/>
  <c r="E45" i="6"/>
  <c r="J39" i="6"/>
  <c r="M4" i="6"/>
  <c r="V12" i="6"/>
  <c r="I62" i="6"/>
  <c r="T19" i="6"/>
  <c r="U23" i="6"/>
  <c r="F10" i="6"/>
  <c r="AC16" i="6"/>
  <c r="V16" i="6"/>
  <c r="F12" i="6"/>
  <c r="W65" i="6"/>
  <c r="X19" i="6"/>
  <c r="S48" i="6"/>
  <c r="F14" i="6"/>
  <c r="I64" i="6"/>
  <c r="R6" i="6"/>
  <c r="AA22" i="6"/>
  <c r="Y6" i="6"/>
  <c r="AA68" i="6"/>
  <c r="T42" i="6"/>
  <c r="I66" i="6"/>
  <c r="J60" i="6"/>
  <c r="D15" i="6"/>
  <c r="Q12" i="6"/>
  <c r="O61" i="6"/>
  <c r="E16" i="6"/>
  <c r="J4" i="6"/>
  <c r="X54" i="6"/>
  <c r="F56" i="6"/>
  <c r="X8" i="6"/>
  <c r="W49" i="6"/>
  <c r="E64" i="6"/>
  <c r="L42" i="6"/>
  <c r="AB4" i="6"/>
  <c r="R50" i="6"/>
  <c r="L19" i="6"/>
  <c r="E43" i="6"/>
  <c r="Q6" i="6"/>
  <c r="J42" i="6"/>
  <c r="Z10" i="6"/>
  <c r="N48" i="6"/>
  <c r="K22" i="6"/>
  <c r="J13" i="6"/>
  <c r="J67" i="6"/>
  <c r="Y62" i="6"/>
  <c r="K66" i="6"/>
  <c r="R19" i="6"/>
  <c r="AC67" i="6"/>
  <c r="H16" i="6"/>
  <c r="O13" i="6"/>
  <c r="D48" i="6"/>
  <c r="AD4" i="6"/>
  <c r="K68" i="6"/>
  <c r="E61" i="6"/>
  <c r="I8" i="6"/>
  <c r="P2" i="6"/>
  <c r="G21" i="6"/>
  <c r="G61" i="6"/>
  <c r="R45" i="6"/>
  <c r="AC54" i="6"/>
  <c r="T49" i="6"/>
  <c r="AD66" i="6"/>
  <c r="Z3" i="6"/>
  <c r="Z48" i="6"/>
  <c r="X44" i="6"/>
  <c r="U10" i="6"/>
  <c r="Q39" i="6"/>
  <c r="E56" i="6"/>
  <c r="X14" i="6"/>
  <c r="W20" i="6"/>
  <c r="V29" i="6"/>
  <c r="O49" i="6"/>
  <c r="M16" i="6"/>
  <c r="I55" i="6"/>
  <c r="AA54" i="6"/>
  <c r="K58" i="6"/>
  <c r="AB12" i="6"/>
  <c r="AB18" i="6"/>
  <c r="J61" i="6"/>
  <c r="AB65" i="6"/>
  <c r="R39" i="6"/>
  <c r="W48" i="6"/>
  <c r="L13" i="6"/>
  <c r="H45" i="6"/>
  <c r="Q4" i="6"/>
  <c r="L43" i="6"/>
  <c r="R20" i="6"/>
  <c r="R44" i="6"/>
  <c r="V17" i="6"/>
  <c r="T44" i="6"/>
  <c r="Y49" i="6"/>
  <c r="H18" i="6"/>
  <c r="H53" i="6"/>
  <c r="S4" i="6"/>
  <c r="S63" i="6"/>
  <c r="W45" i="6"/>
  <c r="J54" i="6"/>
  <c r="F8" i="6"/>
  <c r="Z63" i="6"/>
  <c r="R10" i="6"/>
  <c r="G18" i="6"/>
  <c r="AC15" i="6"/>
  <c r="E40" i="6"/>
  <c r="S59" i="6"/>
  <c r="S68" i="6"/>
  <c r="H68" i="6"/>
  <c r="G66" i="6"/>
  <c r="D44" i="6"/>
  <c r="J2" i="6"/>
  <c r="Q67" i="6"/>
  <c r="I63" i="6"/>
  <c r="P15" i="6"/>
  <c r="L67" i="6"/>
  <c r="T50" i="6"/>
  <c r="O3" i="6"/>
  <c r="T40" i="6"/>
  <c r="K50" i="6"/>
  <c r="K45" i="6"/>
  <c r="G45" i="6"/>
  <c r="AD22" i="6"/>
  <c r="V54" i="6"/>
  <c r="L64" i="6"/>
  <c r="Y30" i="6"/>
  <c r="H38" i="6"/>
  <c r="S19" i="6"/>
  <c r="W50" i="6"/>
  <c r="R16" i="6"/>
  <c r="AC55" i="6"/>
  <c r="O59" i="6"/>
  <c r="T60" i="6"/>
  <c r="H54" i="6"/>
  <c r="K8" i="6"/>
  <c r="H62" i="6"/>
  <c r="AC22" i="6"/>
  <c r="L49" i="6"/>
  <c r="AB67" i="6"/>
  <c r="J18" i="6"/>
  <c r="F30" i="6"/>
  <c r="AC56" i="6"/>
  <c r="F62" i="6"/>
  <c r="L61" i="6"/>
  <c r="X30" i="6"/>
  <c r="Z7" i="6"/>
  <c r="Z68" i="6"/>
  <c r="AD65" i="6"/>
  <c r="I42" i="6"/>
  <c r="N3" i="6"/>
  <c r="H21" i="6"/>
  <c r="N49" i="6"/>
  <c r="I50" i="6"/>
  <c r="Y63" i="6"/>
  <c r="G53" i="6"/>
  <c r="E42" i="6"/>
  <c r="T45" i="6"/>
  <c r="N8" i="6"/>
  <c r="L15" i="6"/>
  <c r="AD23" i="6"/>
  <c r="K19" i="6"/>
  <c r="V62" i="6"/>
  <c r="T8" i="6"/>
  <c r="T63" i="6"/>
  <c r="AC59" i="6"/>
  <c r="S20" i="6"/>
  <c r="AC28" i="6"/>
  <c r="H48" i="6"/>
  <c r="M20" i="6"/>
  <c r="P23" i="6"/>
  <c r="V38" i="6"/>
  <c r="N18" i="6"/>
  <c r="L62" i="6"/>
  <c r="P3" i="6"/>
  <c r="S11" i="6"/>
  <c r="J6" i="6"/>
  <c r="N13" i="6"/>
  <c r="D54" i="6"/>
  <c r="K18" i="6"/>
  <c r="F42" i="6"/>
  <c r="V7" i="6"/>
  <c r="S8" i="6"/>
  <c r="I3" i="6"/>
  <c r="K23" i="6"/>
  <c r="AC48" i="6"/>
  <c r="L48" i="6"/>
  <c r="L4" i="6"/>
  <c r="G57" i="6"/>
  <c r="X16" i="6"/>
  <c r="AA4" i="6"/>
  <c r="AB66" i="6"/>
  <c r="P54" i="6"/>
  <c r="Q42" i="6"/>
  <c r="G29" i="6"/>
  <c r="Y50" i="6"/>
  <c r="R18" i="6"/>
  <c r="AD48" i="6"/>
  <c r="M40" i="6"/>
  <c r="X61" i="6"/>
  <c r="V23" i="6"/>
  <c r="W16" i="6"/>
  <c r="J21" i="6"/>
  <c r="E12" i="6"/>
  <c r="W29" i="6"/>
  <c r="Z43" i="6"/>
  <c r="W23" i="6"/>
  <c r="S43" i="6"/>
  <c r="H17" i="6"/>
  <c r="H40" i="6"/>
  <c r="P56" i="6"/>
  <c r="Y66" i="6"/>
  <c r="Q43" i="6"/>
  <c r="R17" i="6"/>
  <c r="U19" i="6"/>
  <c r="X22" i="6"/>
  <c r="AA7" i="6"/>
  <c r="F65" i="6"/>
  <c r="N21" i="6"/>
  <c r="O42" i="6"/>
  <c r="D49" i="6"/>
  <c r="F55" i="6"/>
  <c r="Q52" i="6"/>
  <c r="R8" i="6"/>
  <c r="P49" i="6"/>
  <c r="O58" i="6"/>
  <c r="M57" i="6"/>
  <c r="W2" i="6"/>
  <c r="W8" i="6"/>
  <c r="H22" i="6"/>
  <c r="P11" i="6"/>
  <c r="I48" i="6"/>
  <c r="O54" i="6"/>
  <c r="F13" i="6"/>
  <c r="F49" i="6"/>
  <c r="T55" i="6"/>
  <c r="N66" i="6"/>
  <c r="D8" i="6"/>
  <c r="E15" i="6"/>
  <c r="Q44" i="6"/>
  <c r="P59" i="6"/>
  <c r="AA3" i="6"/>
  <c r="U53" i="6"/>
  <c r="AD61" i="6"/>
  <c r="P17" i="6"/>
  <c r="O22" i="6"/>
  <c r="T29" i="6"/>
  <c r="I13" i="6"/>
  <c r="G14" i="6"/>
  <c r="D11" i="6"/>
  <c r="L7" i="6"/>
  <c r="W3" i="6"/>
  <c r="V58" i="6"/>
  <c r="Z54" i="6"/>
  <c r="AA6" i="6"/>
  <c r="K56" i="6"/>
  <c r="S58" i="6"/>
  <c r="P39" i="6"/>
  <c r="AD64" i="6"/>
  <c r="T67" i="6"/>
  <c r="AC18" i="6"/>
  <c r="AC4" i="6"/>
  <c r="Y17" i="6"/>
  <c r="H64" i="6"/>
  <c r="P64" i="6"/>
  <c r="Z52" i="6"/>
  <c r="K48" i="6"/>
  <c r="J64" i="6"/>
  <c r="N23" i="6"/>
  <c r="AC57" i="6"/>
  <c r="Q54" i="6"/>
  <c r="AD29" i="6"/>
  <c r="R13" i="6"/>
  <c r="X17" i="6"/>
  <c r="F16" i="6"/>
  <c r="W43" i="6"/>
  <c r="L53" i="6"/>
  <c r="M12" i="6"/>
  <c r="Y8" i="6"/>
  <c r="E6" i="6"/>
  <c r="Q18" i="6"/>
  <c r="Y64" i="6"/>
  <c r="T65" i="6"/>
  <c r="Z14" i="6"/>
  <c r="AB57" i="6"/>
  <c r="AA49" i="6"/>
  <c r="J20" i="6"/>
  <c r="L40" i="6"/>
  <c r="V3" i="6"/>
  <c r="V6" i="6"/>
  <c r="S13" i="6"/>
  <c r="F54" i="6"/>
  <c r="R11" i="6"/>
  <c r="U21" i="6"/>
  <c r="L50" i="6"/>
  <c r="I22" i="6"/>
  <c r="AB40" i="6"/>
  <c r="F44" i="6"/>
  <c r="N60" i="6"/>
  <c r="R61" i="6"/>
  <c r="P65" i="6"/>
  <c r="Z29" i="6"/>
  <c r="G3" i="6"/>
  <c r="Z49" i="6"/>
  <c r="AA8" i="6"/>
  <c r="E44" i="6"/>
  <c r="T43" i="6"/>
  <c r="G30" i="6"/>
  <c r="D57" i="6"/>
  <c r="K2" i="6"/>
  <c r="E11" i="6"/>
  <c r="R38" i="6"/>
  <c r="P60" i="6"/>
  <c r="Q10" i="6"/>
  <c r="K11" i="6"/>
  <c r="H2" i="6"/>
  <c r="N22" i="6"/>
  <c r="AB54" i="6"/>
  <c r="Z65" i="6"/>
  <c r="T2" i="6"/>
  <c r="O55" i="6"/>
  <c r="AB58" i="6"/>
  <c r="S64" i="6"/>
  <c r="G65" i="6"/>
  <c r="N44" i="6"/>
  <c r="L3" i="6"/>
  <c r="M43" i="6"/>
  <c r="U22" i="6"/>
  <c r="AA30" i="6"/>
  <c r="V56" i="6"/>
  <c r="AA50" i="6"/>
  <c r="W52" i="6"/>
  <c r="X23" i="6"/>
  <c r="L6" i="6"/>
  <c r="AC23" i="6"/>
  <c r="H10" i="6"/>
  <c r="D68" i="6"/>
  <c r="V39" i="6"/>
  <c r="Z33" i="6"/>
  <c r="O63" i="6"/>
  <c r="P66" i="6"/>
  <c r="L18" i="6"/>
  <c r="Y52" i="6"/>
  <c r="M60" i="6"/>
  <c r="M65" i="6"/>
  <c r="N55" i="6"/>
  <c r="AB45" i="6"/>
  <c r="AB42" i="6"/>
  <c r="I67" i="6"/>
  <c r="W67" i="6"/>
  <c r="X65" i="6"/>
  <c r="R56" i="6"/>
  <c r="M29" i="6"/>
  <c r="AB44" i="6"/>
  <c r="AC10" i="6"/>
  <c r="W57" i="6"/>
  <c r="U62" i="6"/>
  <c r="Y39" i="6"/>
  <c r="T18" i="6"/>
  <c r="AB16" i="6"/>
  <c r="AB38" i="6"/>
  <c r="M63" i="6"/>
  <c r="V65" i="6"/>
  <c r="J55" i="6"/>
  <c r="Z23" i="6"/>
  <c r="AB68" i="6"/>
  <c r="D63" i="6"/>
  <c r="Z13" i="6"/>
  <c r="N52" i="6"/>
  <c r="F59" i="6"/>
  <c r="S18" i="6"/>
  <c r="R57" i="6"/>
  <c r="E58" i="6"/>
  <c r="U40" i="6"/>
  <c r="AD6" i="6"/>
  <c r="K6" i="6"/>
  <c r="L12" i="6"/>
  <c r="D66" i="6"/>
  <c r="V43" i="6"/>
  <c r="D18" i="6"/>
  <c r="X7" i="6"/>
  <c r="K21" i="6"/>
  <c r="I45" i="6"/>
  <c r="M58" i="6"/>
  <c r="X60" i="6"/>
  <c r="O39" i="6"/>
  <c r="Q30" i="6"/>
  <c r="M21" i="6"/>
  <c r="V13" i="6"/>
  <c r="G13" i="6"/>
  <c r="K52" i="6"/>
  <c r="AC31" i="6"/>
  <c r="L68" i="6"/>
  <c r="V18" i="6"/>
  <c r="W21" i="6"/>
  <c r="Z56" i="6"/>
  <c r="R60" i="6"/>
  <c r="T11" i="6"/>
  <c r="N2" i="6"/>
  <c r="I29" i="6"/>
  <c r="R68" i="6"/>
  <c r="AD15" i="6"/>
  <c r="G23" i="6"/>
  <c r="AA52" i="6"/>
  <c r="E30" i="6"/>
  <c r="Z53" i="6"/>
  <c r="V19" i="6"/>
  <c r="E63" i="6"/>
  <c r="F39" i="6"/>
  <c r="O68" i="6"/>
  <c r="X12" i="6"/>
  <c r="H11" i="6"/>
  <c r="Q58" i="6"/>
  <c r="G54" i="6"/>
  <c r="V4" i="6"/>
  <c r="L2" i="6"/>
  <c r="D7" i="6"/>
  <c r="S61" i="6"/>
  <c r="AB55" i="6"/>
  <c r="W55" i="6"/>
  <c r="T17" i="6"/>
  <c r="Z16" i="6"/>
  <c r="Y43" i="6"/>
  <c r="K10" i="6"/>
  <c r="K42" i="6"/>
  <c r="G52" i="6"/>
  <c r="W39" i="6"/>
  <c r="R58" i="6"/>
  <c r="G68" i="6"/>
  <c r="X45" i="6"/>
  <c r="S53" i="6"/>
  <c r="G62" i="6"/>
  <c r="AD14" i="6"/>
  <c r="R30" i="6"/>
  <c r="Q62" i="6"/>
  <c r="E38" i="6"/>
  <c r="U20" i="6"/>
  <c r="Q15" i="6"/>
  <c r="N61" i="6"/>
  <c r="AA13" i="6"/>
  <c r="AB17" i="6"/>
  <c r="AD21" i="6"/>
  <c r="U48" i="6"/>
  <c r="S23" i="6"/>
  <c r="H57" i="6"/>
  <c r="AC8" i="6"/>
  <c r="O16" i="6"/>
  <c r="Z55" i="6"/>
  <c r="R62" i="6"/>
  <c r="Q11" i="6"/>
  <c r="N29" i="6"/>
  <c r="I7" i="6"/>
  <c r="D62" i="6"/>
  <c r="P63" i="6"/>
  <c r="T20" i="6"/>
  <c r="V55" i="6"/>
  <c r="U60" i="6"/>
  <c r="U42" i="6"/>
  <c r="X10" i="6"/>
  <c r="H42" i="6"/>
  <c r="S52" i="6"/>
  <c r="J8" i="6"/>
  <c r="P68" i="6"/>
  <c r="Y57" i="6"/>
  <c r="AB21" i="6"/>
  <c r="I19" i="6"/>
  <c r="Z22" i="6"/>
  <c r="D45" i="6"/>
  <c r="Q20" i="6"/>
  <c r="T68" i="6"/>
  <c r="P44" i="6"/>
  <c r="W38" i="6"/>
  <c r="O38" i="6"/>
  <c r="J40" i="6"/>
  <c r="V63" i="6"/>
  <c r="AA12" i="6"/>
  <c r="P42" i="6"/>
  <c r="V60" i="6"/>
  <c r="J12" i="6"/>
  <c r="AD10" i="6"/>
  <c r="E57" i="6"/>
  <c r="N56" i="6"/>
  <c r="U66" i="6"/>
  <c r="N59" i="6"/>
  <c r="Z8" i="6"/>
  <c r="P7" i="6"/>
  <c r="P45" i="6"/>
  <c r="Y48" i="6"/>
  <c r="H12" i="6"/>
  <c r="I58" i="6"/>
  <c r="S49" i="6"/>
  <c r="J65" i="6"/>
  <c r="O40" i="6"/>
  <c r="E22" i="6"/>
  <c r="AC41" i="6"/>
  <c r="M2" i="6"/>
  <c r="U58" i="6"/>
  <c r="P57" i="6"/>
  <c r="O19" i="6"/>
  <c r="M19" i="6"/>
  <c r="K67" i="6"/>
  <c r="I17" i="6"/>
  <c r="E68" i="6"/>
  <c r="R42" i="6"/>
  <c r="R53" i="6"/>
  <c r="N40" i="6"/>
  <c r="Z57" i="6"/>
  <c r="M50" i="6"/>
  <c r="T6" i="6"/>
  <c r="Q64" i="6"/>
  <c r="P55" i="6"/>
  <c r="M10" i="6"/>
  <c r="O56" i="6"/>
  <c r="Y42" i="6"/>
  <c r="AA20" i="6"/>
  <c r="AA14" i="6"/>
  <c r="U30" i="6"/>
  <c r="V2" i="6"/>
  <c r="E55" i="6"/>
  <c r="P12" i="6"/>
  <c r="M30" i="6"/>
  <c r="X4" i="6"/>
  <c r="R63" i="6"/>
  <c r="L10" i="6"/>
  <c r="H52" i="6"/>
  <c r="G48" i="6"/>
  <c r="N38" i="6"/>
  <c r="U57" i="6"/>
  <c r="I49" i="6"/>
  <c r="O65" i="6"/>
  <c r="S12" i="6"/>
  <c r="R52" i="6"/>
  <c r="D10" i="6"/>
  <c r="T21" i="6"/>
  <c r="E54" i="6"/>
  <c r="X20" i="6"/>
  <c r="O48" i="6"/>
  <c r="G49" i="6"/>
  <c r="E52" i="6"/>
  <c r="AA19" i="6"/>
  <c r="U67" i="6"/>
  <c r="R22" i="6"/>
  <c r="S40" i="6"/>
  <c r="X64" i="6"/>
  <c r="U4" i="6"/>
  <c r="AA45" i="6"/>
  <c r="O15" i="6"/>
  <c r="U38" i="6"/>
  <c r="T12" i="6"/>
  <c r="AB53" i="6"/>
  <c r="AB50" i="6"/>
  <c r="AC61" i="6"/>
  <c r="N12" i="6"/>
  <c r="H43" i="6"/>
  <c r="I20" i="6"/>
  <c r="U13" i="6"/>
  <c r="S29" i="6"/>
  <c r="R7" i="6"/>
  <c r="N20" i="6"/>
  <c r="AD50" i="6"/>
  <c r="F63" i="6"/>
  <c r="K14" i="6"/>
  <c r="J7" i="6"/>
  <c r="AC19" i="6"/>
  <c r="K43" i="6"/>
  <c r="N68" i="6"/>
  <c r="Y21" i="6"/>
  <c r="AA67" i="6"/>
  <c r="G11" i="6"/>
  <c r="Q68" i="6"/>
  <c r="D17" i="6"/>
  <c r="H19" i="6"/>
  <c r="Y53" i="6"/>
  <c r="H13" i="6"/>
  <c r="AB43" i="6"/>
  <c r="D58" i="6"/>
  <c r="M22" i="6"/>
  <c r="AA29" i="6"/>
  <c r="I4" i="6"/>
  <c r="U14" i="6"/>
  <c r="M38" i="6"/>
  <c r="AB19" i="6"/>
  <c r="I15" i="6"/>
  <c r="AA53" i="6"/>
  <c r="Y2" i="6"/>
  <c r="L57" i="6"/>
  <c r="T7" i="6"/>
  <c r="AB11" i="6"/>
  <c r="T3" i="6"/>
  <c r="M54" i="6"/>
  <c r="AC6" i="6"/>
  <c r="I68" i="6"/>
  <c r="N54" i="6"/>
  <c r="H55" i="6"/>
  <c r="P22" i="6"/>
  <c r="S60" i="6"/>
  <c r="U8" i="6"/>
  <c r="I52" i="6"/>
  <c r="J52" i="6"/>
  <c r="O64" i="6"/>
  <c r="Z39" i="6"/>
  <c r="L11" i="6"/>
  <c r="I56" i="6"/>
  <c r="R49" i="6"/>
  <c r="L23" i="6"/>
  <c r="AB22" i="6"/>
  <c r="J48" i="6"/>
  <c r="H63" i="6"/>
  <c r="M6" i="6"/>
  <c r="D29" i="6"/>
  <c r="K65" i="6"/>
  <c r="Y60" i="6"/>
  <c r="F57" i="6"/>
  <c r="Q48" i="6"/>
  <c r="AA21" i="6"/>
  <c r="AB63" i="6"/>
  <c r="J63" i="6"/>
  <c r="F52" i="6"/>
  <c r="P4" i="6"/>
  <c r="Y59" i="6"/>
  <c r="V64" i="6"/>
  <c r="P38" i="6"/>
  <c r="U63" i="6"/>
  <c r="I40" i="6"/>
  <c r="AA18" i="6"/>
  <c r="M7" i="6"/>
  <c r="G20" i="6"/>
  <c r="F3" i="6"/>
  <c r="AC35" i="6"/>
  <c r="L14" i="6"/>
  <c r="Y29" i="6"/>
  <c r="W62" i="6"/>
  <c r="W53" i="6"/>
  <c r="O50" i="6"/>
  <c r="Z12" i="6"/>
  <c r="O66" i="6"/>
  <c r="Q65" i="6"/>
  <c r="J56" i="6"/>
  <c r="Z38" i="6"/>
  <c r="Z11" i="6"/>
  <c r="R43" i="6"/>
  <c r="G2" i="6"/>
  <c r="V44" i="6"/>
  <c r="D6" i="6"/>
  <c r="P20" i="6"/>
  <c r="W68" i="6"/>
  <c r="R23" i="6"/>
  <c r="W7" i="6"/>
  <c r="K29" i="6"/>
  <c r="J29" i="6"/>
  <c r="D65" i="6"/>
  <c r="E10" i="6"/>
  <c r="L54" i="6"/>
  <c r="W6" i="6"/>
  <c r="F58" i="6"/>
  <c r="S14" i="6"/>
  <c r="F22" i="6"/>
  <c r="D67" i="6"/>
  <c r="I2" i="6"/>
  <c r="P21" i="6"/>
  <c r="X53" i="6"/>
  <c r="G4" i="6"/>
  <c r="U55" i="6"/>
  <c r="N4" i="6"/>
  <c r="AD62" i="6"/>
  <c r="AC49" i="6"/>
  <c r="H67" i="6"/>
  <c r="Q19" i="6"/>
  <c r="G64" i="6"/>
  <c r="H58" i="6"/>
  <c r="V30" i="6"/>
  <c r="I60" i="6"/>
  <c r="O18" i="6"/>
  <c r="AC21" i="6"/>
  <c r="E49" i="6"/>
  <c r="H14" i="6"/>
  <c r="K57" i="6"/>
  <c r="AC27" i="6"/>
  <c r="AC2" i="6"/>
  <c r="R15" i="6"/>
  <c r="V57" i="6"/>
  <c r="E20" i="6"/>
  <c r="M61" i="6"/>
  <c r="P53" i="6"/>
  <c r="I23" i="6"/>
  <c r="I43" i="6"/>
  <c r="H49" i="6"/>
  <c r="E13" i="6"/>
  <c r="T66" i="6"/>
  <c r="AC37" i="6"/>
  <c r="X38" i="6"/>
  <c r="O4" i="6"/>
  <c r="AB10" i="6"/>
  <c r="Y4" i="6"/>
  <c r="J3" i="6"/>
  <c r="I54" i="6"/>
  <c r="G44" i="6"/>
  <c r="H65" i="6"/>
  <c r="K54" i="6"/>
  <c r="F6" i="6"/>
  <c r="AD16" i="6"/>
  <c r="L52" i="6"/>
  <c r="X6" i="6"/>
  <c r="Q38" i="6"/>
  <c r="J16" i="6"/>
  <c r="W13" i="6"/>
  <c r="O67" i="6"/>
  <c r="AB29" i="6"/>
  <c r="Q40" i="6"/>
  <c r="J66" i="6"/>
  <c r="J14" i="6"/>
  <c r="F43" i="6"/>
  <c r="G7" i="6"/>
  <c r="X11" i="6"/>
  <c r="O10" i="6"/>
  <c r="S56" i="6"/>
  <c r="Q66" i="6"/>
  <c r="V20" i="6"/>
  <c r="R66" i="6"/>
  <c r="I14" i="6"/>
  <c r="H56" i="6"/>
  <c r="U2" i="6"/>
  <c r="AC26" i="6"/>
  <c r="D38" i="6"/>
  <c r="R59" i="6"/>
  <c r="W30" i="6"/>
  <c r="T30" i="6"/>
  <c r="I16" i="6"/>
  <c r="F50" i="6"/>
  <c r="AD17" i="6"/>
  <c r="AC33" i="6"/>
  <c r="AD39" i="6"/>
  <c r="S21" i="6"/>
  <c r="AB61" i="6"/>
  <c r="L55" i="6"/>
  <c r="E8" i="6"/>
  <c r="AA63" i="6"/>
  <c r="N10" i="6"/>
  <c r="L22" i="6"/>
  <c r="J68" i="6"/>
  <c r="Q2" i="6"/>
  <c r="P6" i="6"/>
  <c r="V8" i="6"/>
  <c r="V66" i="6"/>
  <c r="P29" i="6"/>
  <c r="P40" i="6"/>
  <c r="AB60" i="6"/>
  <c r="F60" i="6"/>
  <c r="AD49" i="6"/>
  <c r="AD12" i="6"/>
  <c r="F64" i="6"/>
  <c r="AB52" i="6"/>
  <c r="K44" i="6"/>
  <c r="W63" i="6"/>
  <c r="T53" i="6"/>
  <c r="P18" i="6"/>
  <c r="Z60" i="6"/>
  <c r="K64" i="6"/>
  <c r="AA42" i="6"/>
  <c r="N15" i="6"/>
  <c r="U44" i="6"/>
  <c r="K49" i="6"/>
  <c r="K40" i="6"/>
  <c r="Z42" i="6"/>
  <c r="O20" i="6"/>
  <c r="O8" i="6"/>
  <c r="G16" i="6"/>
  <c r="S67" i="6"/>
  <c r="K60" i="6"/>
  <c r="D53" i="6"/>
  <c r="AB64" i="6"/>
  <c r="V67" i="6"/>
  <c r="J22" i="6"/>
  <c r="D20" i="6"/>
  <c r="Z4" i="6"/>
  <c r="Q29" i="6"/>
  <c r="L59" i="6"/>
  <c r="R40" i="6"/>
  <c r="AD53" i="6"/>
  <c r="AC34" i="6"/>
  <c r="K12" i="6"/>
  <c r="Z66" i="6"/>
  <c r="W4" i="6"/>
  <c r="AB13" i="6"/>
  <c r="F2" i="6"/>
  <c r="AB62" i="6"/>
  <c r="AB48" i="6"/>
  <c r="M45" i="6"/>
  <c r="I6" i="6"/>
  <c r="J38" i="6"/>
  <c r="U39" i="6"/>
  <c r="T52" i="6"/>
  <c r="AA16" i="6"/>
  <c r="AA40" i="6"/>
  <c r="K38" i="6"/>
  <c r="J30" i="6"/>
  <c r="S50" i="6"/>
  <c r="T64" i="6"/>
  <c r="I61" i="6"/>
  <c r="L29" i="6"/>
  <c r="N6" i="6"/>
  <c r="AC65" i="6"/>
  <c r="M55" i="6"/>
  <c r="E60" i="6"/>
  <c r="AC53" i="6"/>
  <c r="U54" i="6"/>
  <c r="Z6" i="6"/>
  <c r="AB14" i="6"/>
  <c r="L65" i="6"/>
  <c r="Z2" i="6"/>
  <c r="Z30" i="6"/>
  <c r="S66" i="6"/>
  <c r="W19" i="6"/>
  <c r="Y40" i="6"/>
  <c r="S17" i="6"/>
  <c r="M17" i="6"/>
  <c r="X34" i="6"/>
  <c r="U59" i="6"/>
  <c r="AA2" i="6"/>
  <c r="S42" i="6"/>
  <c r="Q8" i="6"/>
  <c r="D4" i="6"/>
  <c r="AB20" i="6"/>
  <c r="S65" i="6"/>
  <c r="V10" i="6"/>
  <c r="AA59" i="6"/>
  <c r="H6" i="6"/>
  <c r="L39" i="6"/>
  <c r="Y61" i="6"/>
  <c r="G22" i="6"/>
  <c r="Q21" i="6"/>
  <c r="N16" i="6"/>
  <c r="J50" i="6"/>
  <c r="T23" i="6"/>
  <c r="I11" i="6"/>
  <c r="I18" i="6"/>
  <c r="K53" i="6"/>
  <c r="S6" i="6"/>
  <c r="K62" i="6"/>
  <c r="AA60" i="6"/>
  <c r="E18" i="6"/>
  <c r="AB2" i="6"/>
  <c r="Y56" i="6"/>
  <c r="F11" i="6"/>
  <c r="Y65" i="6"/>
  <c r="M64" i="6"/>
  <c r="F61" i="6"/>
  <c r="AA11" i="6"/>
  <c r="Y11" i="6"/>
  <c r="AD18" i="6"/>
  <c r="G12" i="6"/>
  <c r="W14" i="6"/>
  <c r="X58" i="6"/>
  <c r="AD2" i="6"/>
  <c r="V21" i="6"/>
  <c r="P43" i="6"/>
  <c r="Q55" i="6"/>
  <c r="E39" i="6"/>
  <c r="I53" i="6"/>
  <c r="U29" i="6"/>
  <c r="T22" i="6"/>
  <c r="D3" i="6"/>
  <c r="AC66" i="6"/>
  <c r="D39" i="6"/>
  <c r="AD68" i="6"/>
  <c r="W66" i="6"/>
  <c r="E67" i="6"/>
  <c r="AC12" i="6"/>
  <c r="D64" i="6"/>
  <c r="O30" i="6"/>
  <c r="Z62" i="6"/>
  <c r="E17" i="6"/>
  <c r="T16" i="6"/>
  <c r="Q53" i="6"/>
  <c r="G40" i="6"/>
  <c r="Y67" i="6"/>
  <c r="V68" i="6"/>
  <c r="V11" i="6"/>
  <c r="M3" i="6"/>
  <c r="W10" i="6"/>
  <c r="X52" i="6"/>
  <c r="U61" i="6"/>
  <c r="G56" i="6"/>
  <c r="N57" i="6"/>
  <c r="H7" i="6"/>
  <c r="U15" i="6"/>
  <c r="O53" i="6"/>
  <c r="Z17" i="6"/>
  <c r="O62" i="6"/>
  <c r="K30" i="6"/>
  <c r="H59" i="6"/>
  <c r="S62" i="6"/>
  <c r="W56" i="6"/>
  <c r="Z50" i="6"/>
  <c r="AC63" i="6"/>
  <c r="V53" i="6"/>
  <c r="AA43" i="6"/>
  <c r="F66" i="6"/>
  <c r="D14" i="6"/>
  <c r="N58" i="6"/>
  <c r="Q50" i="6"/>
  <c r="F19" i="6"/>
  <c r="AA15" i="6"/>
  <c r="U7" i="6"/>
  <c r="I30" i="6"/>
  <c r="H29" i="6"/>
  <c r="V15" i="6"/>
  <c r="M14" i="6"/>
  <c r="O7" i="6"/>
  <c r="V59" i="6"/>
  <c r="W18" i="6"/>
  <c r="G67" i="6"/>
  <c r="I59" i="6"/>
  <c r="AC58" i="6"/>
  <c r="R67" i="6"/>
  <c r="F20" i="6"/>
  <c r="P48" i="6"/>
  <c r="U43" i="6"/>
  <c r="T59" i="6"/>
  <c r="AB56" i="6"/>
  <c r="W15" i="6"/>
  <c r="W17" i="6"/>
  <c r="N43" i="6"/>
  <c r="K63" i="6"/>
  <c r="AC36" i="6"/>
  <c r="Y68" i="6"/>
  <c r="E65" i="6"/>
  <c r="AB59" i="6"/>
  <c r="AA38" i="6"/>
  <c r="AD57" i="6"/>
  <c r="V42" i="6"/>
  <c r="X43" i="6"/>
  <c r="AC60" i="6"/>
  <c r="Y3" i="6"/>
  <c r="U6" i="6"/>
  <c r="AD42" i="6"/>
  <c r="D13" i="6"/>
  <c r="G39" i="6"/>
  <c r="X3" i="6"/>
  <c r="V22" i="6"/>
  <c r="U65" i="6"/>
  <c r="Z67" i="6"/>
  <c r="G17" i="6"/>
  <c r="AA58" i="6"/>
  <c r="E29" i="6"/>
  <c r="M15" i="6"/>
  <c r="M52" i="6"/>
  <c r="X50" i="6"/>
  <c r="H15" i="6"/>
  <c r="P10" i="6"/>
  <c r="AD63" i="6"/>
  <c r="F45" i="6"/>
  <c r="J44" i="6"/>
  <c r="I39" i="6"/>
  <c r="AD3" i="6"/>
  <c r="O43" i="6"/>
  <c r="S22" i="6"/>
  <c r="K61" i="6"/>
  <c r="H66" i="6"/>
  <c r="Z20" i="6"/>
  <c r="E21" i="6"/>
  <c r="Z45" i="6"/>
  <c r="U68" i="6"/>
  <c r="J17" i="6"/>
  <c r="Q49" i="6"/>
  <c r="M11" i="6"/>
  <c r="T54" i="6"/>
  <c r="W42" i="6"/>
  <c r="G59" i="6"/>
  <c r="M8" i="6"/>
  <c r="M67" i="6"/>
  <c r="P52" i="6"/>
  <c r="Q59" i="6"/>
  <c r="G63" i="6"/>
  <c r="Y23" i="6"/>
  <c r="G15" i="6"/>
  <c r="V48" i="6"/>
  <c r="D55" i="6"/>
  <c r="K55" i="6"/>
  <c r="Y20" i="6"/>
  <c r="D42" i="6"/>
  <c r="L8" i="6"/>
  <c r="AA48" i="6"/>
  <c r="X21" i="6"/>
  <c r="O60" i="6"/>
  <c r="J62" i="6"/>
  <c r="L44" i="6"/>
  <c r="AC14" i="6"/>
  <c r="N39" i="6"/>
  <c r="R14" i="6"/>
  <c r="P14" i="6"/>
  <c r="N65" i="6"/>
  <c r="E50" i="6"/>
  <c r="R3" i="6"/>
  <c r="N42" i="6"/>
  <c r="AA61" i="6"/>
  <c r="H39" i="6"/>
  <c r="AB15" i="6"/>
  <c r="Z58" i="6"/>
  <c r="AA66" i="6"/>
  <c r="AD55" i="6"/>
  <c r="T15" i="6"/>
  <c r="R64" i="6"/>
  <c r="L20" i="6"/>
  <c r="N50" i="6"/>
  <c r="L17" i="6"/>
  <c r="F38" i="6"/>
  <c r="V14" i="6"/>
  <c r="F17" i="6"/>
  <c r="E14" i="6"/>
  <c r="J58" i="6"/>
  <c r="AB23" i="6"/>
  <c r="L56" i="6"/>
  <c r="AC50" i="6"/>
  <c r="X66" i="6"/>
  <c r="O12" i="6"/>
  <c r="D12" i="6"/>
  <c r="AA44" i="6"/>
  <c r="H61" i="6"/>
  <c r="J49" i="6"/>
  <c r="J11" i="6"/>
  <c r="R55" i="6"/>
  <c r="D56" i="6"/>
  <c r="F53" i="6"/>
  <c r="I21" i="6"/>
  <c r="S2" i="6"/>
  <c r="AC3" i="6"/>
  <c r="H44" i="6"/>
  <c r="W22" i="6"/>
  <c r="U18" i="6"/>
  <c r="O23" i="6"/>
  <c r="N17" i="6"/>
  <c r="M59" i="6"/>
  <c r="AD20" i="6"/>
  <c r="Q60" i="6"/>
  <c r="X49" i="6"/>
  <c r="X42" i="6"/>
  <c r="X63" i="6"/>
  <c r="O6" i="6"/>
  <c r="AA64" i="6"/>
  <c r="F35" i="6"/>
  <c r="AB6" i="6"/>
  <c r="N45" i="6"/>
  <c r="U64" i="6"/>
  <c r="U52" i="6"/>
  <c r="M39" i="6"/>
  <c r="Z64" i="6"/>
  <c r="Y18" i="6"/>
  <c r="D2" i="6"/>
  <c r="Z21" i="6"/>
  <c r="W12" i="6"/>
  <c r="T39" i="6"/>
  <c r="E53" i="6"/>
  <c r="AD67" i="6"/>
  <c r="AB49" i="6"/>
  <c r="K17" i="6"/>
  <c r="T4" i="6"/>
  <c r="Y45" i="6"/>
  <c r="O14" i="6"/>
  <c r="U56" i="6"/>
  <c r="AD58" i="6"/>
  <c r="U49" i="6"/>
  <c r="AC52" i="6"/>
  <c r="G38" i="6"/>
  <c r="AD7" i="6"/>
  <c r="L45" i="6"/>
  <c r="T38" i="6"/>
  <c r="AA23" i="6"/>
  <c r="Y19" i="6"/>
  <c r="M23" i="6"/>
  <c r="G55" i="6"/>
  <c r="AD11" i="6"/>
  <c r="G10" i="6"/>
  <c r="G58" i="6"/>
  <c r="T58" i="6"/>
  <c r="D16" i="6"/>
  <c r="F4" i="6"/>
  <c r="S39" i="6"/>
  <c r="O29" i="6"/>
  <c r="P61" i="6"/>
  <c r="N64" i="6"/>
  <c r="AD59" i="6"/>
  <c r="H4" i="6"/>
  <c r="AD60" i="6"/>
  <c r="G42" i="6"/>
  <c r="AD56" i="6"/>
  <c r="Y44" i="6"/>
  <c r="M48" i="6"/>
  <c r="G43" i="6"/>
  <c r="R21" i="6"/>
  <c r="G6" i="6"/>
  <c r="N67" i="6"/>
  <c r="AC13" i="6"/>
  <c r="AA17" i="6"/>
  <c r="T61" i="6"/>
  <c r="M44" i="6"/>
  <c r="AC64" i="6"/>
  <c r="X2" i="6"/>
  <c r="U11" i="6"/>
  <c r="E2" i="6"/>
  <c r="U17" i="6"/>
  <c r="N7" i="6"/>
  <c r="L58" i="6"/>
  <c r="D50" i="6"/>
  <c r="W40" i="6"/>
  <c r="R29" i="6"/>
  <c r="T10" i="6"/>
  <c r="AA57" i="6"/>
  <c r="W54" i="6"/>
  <c r="AB30" i="6"/>
  <c r="N14" i="6"/>
  <c r="X55" i="6"/>
  <c r="M18" i="6"/>
  <c r="AA39" i="6"/>
  <c r="Q17" i="6"/>
  <c r="E3" i="6"/>
  <c r="AC20" i="6"/>
  <c r="L21" i="6"/>
  <c r="E7" i="6"/>
  <c r="G19" i="6"/>
  <c r="X39" i="6"/>
  <c r="Y38" i="6"/>
  <c r="AB3" i="6"/>
  <c r="W11" i="6"/>
  <c r="T13" i="6"/>
  <c r="Y58" i="6"/>
  <c r="Y10" i="6"/>
  <c r="Q57" i="6"/>
  <c r="E59" i="6"/>
  <c r="R54" i="6"/>
  <c r="O44" i="6"/>
  <c r="K4" i="6"/>
  <c r="Q63" i="6"/>
  <c r="E123" i="8" l="1"/>
  <c r="G123" i="8" s="1"/>
  <c r="AG49" i="5"/>
  <c r="AH49" i="5"/>
  <c r="AG48" i="5"/>
  <c r="AG52" i="5"/>
  <c r="AG50" i="5"/>
  <c r="AH52" i="5"/>
  <c r="AH50" i="5"/>
  <c r="AH54" i="5"/>
  <c r="AG54" i="5"/>
  <c r="AG51" i="5"/>
  <c r="E66" i="8"/>
  <c r="G66" i="8" s="1"/>
  <c r="E38" i="8"/>
  <c r="G38" i="8" s="1"/>
  <c r="E16" i="8"/>
  <c r="G16" i="8" s="1"/>
  <c r="E51" i="8"/>
  <c r="G51" i="8" s="1"/>
  <c r="E220" i="8"/>
  <c r="G220" i="8" s="1"/>
  <c r="E64" i="8"/>
  <c r="G64" i="8" s="1"/>
  <c r="E79" i="8"/>
  <c r="G79" i="8" s="1"/>
  <c r="E221" i="8"/>
  <c r="G221" i="8" s="1"/>
  <c r="E70" i="8"/>
  <c r="G70" i="8" s="1"/>
  <c r="E3" i="8"/>
  <c r="G3" i="8" s="1"/>
  <c r="S74" i="6"/>
  <c r="E209" i="8"/>
  <c r="G209" i="8" s="1"/>
  <c r="E243" i="8"/>
  <c r="G243" i="8" s="1"/>
  <c r="E133" i="8"/>
  <c r="G133" i="8" s="1"/>
  <c r="E89" i="8"/>
  <c r="G89" i="8" s="1"/>
  <c r="S73" i="6"/>
  <c r="E96" i="8"/>
  <c r="G96" i="8" s="1"/>
  <c r="T74" i="6"/>
  <c r="E257" i="8"/>
  <c r="G257" i="8" s="1"/>
  <c r="E256" i="8"/>
  <c r="G256" i="8" s="1"/>
  <c r="E134" i="8"/>
  <c r="G134" i="8" s="1"/>
  <c r="E83" i="8"/>
  <c r="G83" i="8" s="1"/>
  <c r="E17" i="8"/>
  <c r="G17" i="8" s="1"/>
  <c r="E63" i="8"/>
  <c r="G63" i="8" s="1"/>
  <c r="E127" i="8"/>
  <c r="G127" i="8" s="1"/>
  <c r="E43" i="8"/>
  <c r="G43" i="8" s="1"/>
  <c r="E11" i="8"/>
  <c r="G11" i="8" s="1"/>
  <c r="E144" i="8"/>
  <c r="G144" i="8" s="1"/>
  <c r="E232" i="8"/>
  <c r="G232" i="8" s="1"/>
  <c r="E262" i="8"/>
  <c r="G262" i="8" s="1"/>
  <c r="E188" i="8"/>
  <c r="G188" i="8" s="1"/>
  <c r="O74" i="6"/>
  <c r="E137" i="8"/>
  <c r="G137" i="8" s="1"/>
  <c r="E132" i="8"/>
  <c r="G132" i="8" s="1"/>
  <c r="E39" i="8"/>
  <c r="G39" i="8" s="1"/>
  <c r="E56" i="8"/>
  <c r="G56" i="8" s="1"/>
  <c r="E227" i="8"/>
  <c r="G227" i="8" s="1"/>
  <c r="E253" i="8"/>
  <c r="G253" i="8" s="1"/>
  <c r="E143" i="8"/>
  <c r="G143" i="8" s="1"/>
  <c r="E111" i="8"/>
  <c r="G111" i="8" s="1"/>
  <c r="E248" i="8"/>
  <c r="G248" i="8" s="1"/>
  <c r="E20" i="8"/>
  <c r="G20" i="8" s="1"/>
  <c r="AC74" i="6"/>
  <c r="E47" i="8"/>
  <c r="G47" i="8" s="1"/>
  <c r="E131" i="8"/>
  <c r="G131" i="8" s="1"/>
  <c r="E229" i="8"/>
  <c r="G229" i="8" s="1"/>
  <c r="E185" i="8"/>
  <c r="G185" i="8" s="1"/>
  <c r="E61" i="8"/>
  <c r="G61" i="8" s="1"/>
  <c r="E19" i="8"/>
  <c r="G19" i="8" s="1"/>
  <c r="E249" i="8"/>
  <c r="G249" i="8" s="1"/>
  <c r="E88" i="8"/>
  <c r="G88" i="8" s="1"/>
  <c r="E226" i="8"/>
  <c r="G226" i="8" s="1"/>
  <c r="E146" i="8"/>
  <c r="G146" i="8" s="1"/>
  <c r="U74" i="6"/>
  <c r="Z74" i="6"/>
  <c r="E142" i="8"/>
  <c r="G142" i="8" s="1"/>
  <c r="E251" i="8"/>
  <c r="G251" i="8" s="1"/>
  <c r="E205" i="8"/>
  <c r="G205" i="8" s="1"/>
  <c r="E198" i="8"/>
  <c r="G198" i="8" s="1"/>
  <c r="E148" i="8"/>
  <c r="G148" i="8" s="1"/>
  <c r="E18" i="8"/>
  <c r="G18" i="8" s="1"/>
  <c r="E236" i="8"/>
  <c r="G236" i="8" s="1"/>
  <c r="E240" i="8"/>
  <c r="G240" i="8" s="1"/>
  <c r="P74" i="6"/>
  <c r="E211" i="8"/>
  <c r="G211" i="8" s="1"/>
  <c r="E75" i="8"/>
  <c r="G75" i="8" s="1"/>
  <c r="E263" i="8"/>
  <c r="G263" i="8" s="1"/>
  <c r="E24" i="8"/>
  <c r="G24" i="8" s="1"/>
  <c r="E81" i="8"/>
  <c r="G81" i="8" s="1"/>
  <c r="E60" i="8"/>
  <c r="G60" i="8" s="1"/>
  <c r="E218" i="8"/>
  <c r="G218" i="8" s="1"/>
  <c r="E147" i="8"/>
  <c r="G147" i="8" s="1"/>
  <c r="E69" i="8"/>
  <c r="G69" i="8" s="1"/>
  <c r="V74" i="6"/>
  <c r="E195" i="8"/>
  <c r="G195" i="8" s="1"/>
  <c r="E217" i="8"/>
  <c r="G217" i="8" s="1"/>
  <c r="E27" i="8"/>
  <c r="G27" i="8" s="1"/>
  <c r="E245" i="8"/>
  <c r="G245" i="8" s="1"/>
  <c r="E138" i="8"/>
  <c r="G138" i="8" s="1"/>
  <c r="E7" i="8"/>
  <c r="G7" i="8" s="1"/>
  <c r="E30" i="8"/>
  <c r="G30" i="8" s="1"/>
  <c r="E234" i="8"/>
  <c r="G234" i="8" s="1"/>
  <c r="E52" i="8"/>
  <c r="G52" i="8" s="1"/>
  <c r="U73" i="6"/>
  <c r="E265" i="8"/>
  <c r="G265" i="8" s="1"/>
  <c r="E118" i="8"/>
  <c r="G118" i="8" s="1"/>
  <c r="X73" i="6"/>
  <c r="E58" i="8"/>
  <c r="G58" i="8" s="1"/>
  <c r="W74" i="6"/>
  <c r="E261" i="8"/>
  <c r="G261" i="8" s="1"/>
  <c r="E35" i="8"/>
  <c r="G35" i="8" s="1"/>
  <c r="E71" i="8"/>
  <c r="G71" i="8" s="1"/>
  <c r="E12" i="8"/>
  <c r="G12" i="8" s="1"/>
  <c r="E200" i="8"/>
  <c r="G200" i="8" s="1"/>
  <c r="E44" i="8"/>
  <c r="G44" i="8" s="1"/>
  <c r="E193" i="8"/>
  <c r="G193" i="8" s="1"/>
  <c r="E84" i="8"/>
  <c r="G84" i="8" s="1"/>
  <c r="E255" i="8"/>
  <c r="G255" i="8" s="1"/>
  <c r="E46" i="8"/>
  <c r="G46" i="8" s="1"/>
  <c r="E8" i="8"/>
  <c r="G8" i="8" s="1"/>
  <c r="E97" i="8"/>
  <c r="G97" i="8" s="1"/>
  <c r="E45" i="8"/>
  <c r="G45" i="8" s="1"/>
  <c r="E239" i="8"/>
  <c r="G239" i="8" s="1"/>
  <c r="AB73" i="6"/>
  <c r="E237" i="8"/>
  <c r="G237" i="8" s="1"/>
  <c r="E152" i="8"/>
  <c r="G152" i="8" s="1"/>
  <c r="Y73" i="6"/>
  <c r="E191" i="8"/>
  <c r="G191" i="8" s="1"/>
  <c r="E31" i="8"/>
  <c r="G31" i="8" s="1"/>
  <c r="E78" i="8"/>
  <c r="G78" i="8" s="1"/>
  <c r="E29" i="8"/>
  <c r="G29" i="8" s="1"/>
  <c r="E264" i="8"/>
  <c r="G264" i="8" s="1"/>
  <c r="E77" i="8"/>
  <c r="G77" i="8" s="1"/>
  <c r="V73" i="6"/>
  <c r="E199" i="8"/>
  <c r="G199" i="8" s="1"/>
  <c r="E23" i="8"/>
  <c r="G23" i="8" s="1"/>
  <c r="E26" i="8"/>
  <c r="G26" i="8" s="1"/>
  <c r="E225" i="8"/>
  <c r="G225" i="8" s="1"/>
  <c r="E36" i="8"/>
  <c r="G36" i="8" s="1"/>
  <c r="Y74" i="6"/>
  <c r="E213" i="8"/>
  <c r="G213" i="8" s="1"/>
  <c r="E53" i="8"/>
  <c r="G53" i="8" s="1"/>
  <c r="E207" i="8"/>
  <c r="G207" i="8" s="1"/>
  <c r="P73" i="6"/>
  <c r="E183" i="8"/>
  <c r="G183" i="8" s="1"/>
  <c r="E136" i="8"/>
  <c r="G136" i="8" s="1"/>
  <c r="E33" i="8"/>
  <c r="G33" i="8" s="1"/>
  <c r="E68" i="8"/>
  <c r="G68" i="8" s="1"/>
  <c r="E231" i="8"/>
  <c r="G231" i="8" s="1"/>
  <c r="E230" i="8"/>
  <c r="G230" i="8" s="1"/>
  <c r="E15" i="8"/>
  <c r="G15" i="8" s="1"/>
  <c r="E4" i="8"/>
  <c r="G4" i="8" s="1"/>
  <c r="E48" i="8"/>
  <c r="G48" i="8" s="1"/>
  <c r="E80" i="8"/>
  <c r="G80" i="8" s="1"/>
  <c r="E42" i="8"/>
  <c r="G42" i="8" s="1"/>
  <c r="AB74" i="6"/>
  <c r="E233" i="8"/>
  <c r="G233" i="8" s="1"/>
  <c r="E235" i="8"/>
  <c r="G235" i="8" s="1"/>
  <c r="E57" i="8"/>
  <c r="G57" i="8" s="1"/>
  <c r="E13" i="8"/>
  <c r="G13" i="8" s="1"/>
  <c r="E260" i="8"/>
  <c r="G260" i="8" s="1"/>
  <c r="E216" i="8"/>
  <c r="G216" i="8" s="1"/>
  <c r="E128" i="8"/>
  <c r="G128" i="8" s="1"/>
  <c r="E197" i="8"/>
  <c r="G197" i="8" s="1"/>
  <c r="E55" i="8"/>
  <c r="G55" i="8" s="1"/>
  <c r="E222" i="8"/>
  <c r="G222" i="8" s="1"/>
  <c r="E109" i="8"/>
  <c r="G109" i="8" s="1"/>
  <c r="E204" i="8"/>
  <c r="G204" i="8" s="1"/>
  <c r="E67" i="8"/>
  <c r="G67" i="8" s="1"/>
  <c r="Q73" i="6"/>
  <c r="E181" i="8"/>
  <c r="G181" i="8" s="1"/>
  <c r="E210" i="8"/>
  <c r="G210" i="8" s="1"/>
  <c r="X74" i="6"/>
  <c r="E25" i="8"/>
  <c r="G25" i="8" s="1"/>
  <c r="AA73" i="6"/>
  <c r="R73" i="6"/>
  <c r="E201" i="8"/>
  <c r="G201" i="8" s="1"/>
  <c r="E192" i="8"/>
  <c r="G192" i="8" s="1"/>
  <c r="E194" i="8"/>
  <c r="G194" i="8" s="1"/>
  <c r="E41" i="8"/>
  <c r="G41" i="8" s="1"/>
  <c r="E73" i="8"/>
  <c r="G73" i="8" s="1"/>
  <c r="E129" i="8"/>
  <c r="G129" i="8" s="1"/>
  <c r="E241" i="8"/>
  <c r="G241" i="8" s="1"/>
  <c r="E266" i="8"/>
  <c r="G266" i="8" s="1"/>
  <c r="E110" i="8"/>
  <c r="G110" i="8" s="1"/>
  <c r="E37" i="8"/>
  <c r="G37" i="8" s="1"/>
  <c r="W73" i="6"/>
  <c r="E203" i="8"/>
  <c r="G203" i="8" s="1"/>
  <c r="E196" i="8"/>
  <c r="G196" i="8" s="1"/>
  <c r="E86" i="8"/>
  <c r="G86" i="8" s="1"/>
  <c r="R74" i="6"/>
  <c r="AA74" i="6"/>
  <c r="E212" i="8"/>
  <c r="G212" i="8" s="1"/>
  <c r="Z73" i="6"/>
  <c r="E139" i="8"/>
  <c r="G139" i="8" s="1"/>
  <c r="E223" i="8"/>
  <c r="G223" i="8" s="1"/>
  <c r="E258" i="8"/>
  <c r="G258" i="8" s="1"/>
  <c r="O73" i="6"/>
  <c r="E34" i="8"/>
  <c r="G34" i="8" s="1"/>
  <c r="E145" i="8"/>
  <c r="G145" i="8" s="1"/>
  <c r="E65" i="8"/>
  <c r="G65" i="8" s="1"/>
  <c r="E87" i="8"/>
  <c r="G87" i="8" s="1"/>
  <c r="E219" i="8"/>
  <c r="G219" i="8" s="1"/>
  <c r="E244" i="8"/>
  <c r="G244" i="8" s="1"/>
  <c r="T73" i="6"/>
  <c r="E186" i="8"/>
  <c r="G186" i="8" s="1"/>
  <c r="E112" i="8"/>
  <c r="G112" i="8" s="1"/>
  <c r="E62" i="8"/>
  <c r="G62" i="8" s="1"/>
  <c r="E106" i="8"/>
  <c r="G106" i="8" s="1"/>
  <c r="E59" i="8"/>
  <c r="G59" i="8" s="1"/>
  <c r="E82" i="8"/>
  <c r="G82" i="8" s="1"/>
  <c r="E119" i="8"/>
  <c r="G119" i="8" s="1"/>
  <c r="E247" i="8"/>
  <c r="G247" i="8" s="1"/>
  <c r="E14" i="8"/>
  <c r="G14" i="8" s="1"/>
  <c r="E254" i="8"/>
  <c r="G254" i="8" s="1"/>
  <c r="Q74" i="6"/>
  <c r="E189" i="8"/>
  <c r="G189" i="8" s="1"/>
  <c r="E9" i="8"/>
  <c r="G9" i="8" s="1"/>
  <c r="E190" i="8"/>
  <c r="G190" i="8" s="1"/>
  <c r="E5" i="8"/>
  <c r="G5" i="8" s="1"/>
  <c r="E214" i="8"/>
  <c r="G214" i="8" s="1"/>
  <c r="E238" i="8"/>
  <c r="G238" i="8" s="1"/>
  <c r="E85" i="8"/>
  <c r="G85" i="8" s="1"/>
  <c r="E21" i="8"/>
  <c r="G21" i="8" s="1"/>
  <c r="E22" i="8"/>
  <c r="G22" i="8" s="1"/>
  <c r="E74" i="8"/>
  <c r="G74" i="8" s="1"/>
  <c r="E259" i="8"/>
  <c r="G259" i="8" s="1"/>
  <c r="E252" i="8"/>
  <c r="G252" i="8" s="1"/>
  <c r="E182" i="8"/>
  <c r="G182" i="8" s="1"/>
  <c r="E107" i="8"/>
  <c r="G107" i="8" s="1"/>
  <c r="E49" i="8"/>
  <c r="G49" i="8" s="1"/>
  <c r="E267" i="8"/>
  <c r="G267" i="8" s="1"/>
  <c r="E242" i="8"/>
  <c r="G242" i="8" s="1"/>
  <c r="E215" i="8"/>
  <c r="G215" i="8" s="1"/>
  <c r="E187" i="8"/>
  <c r="G187" i="8" s="1"/>
  <c r="E208" i="8"/>
  <c r="G208" i="8" s="1"/>
  <c r="E40" i="8"/>
  <c r="G40" i="8" s="1"/>
  <c r="E105" i="8"/>
  <c r="G105" i="8" s="1"/>
  <c r="AH14" i="5"/>
  <c r="AH55" i="5"/>
  <c r="AH17" i="5"/>
  <c r="AH7" i="5"/>
  <c r="AH56" i="5"/>
  <c r="AH25" i="5"/>
  <c r="AH27" i="5"/>
  <c r="AH12" i="5"/>
  <c r="AG56" i="5"/>
  <c r="AH36" i="5"/>
  <c r="AH38" i="5"/>
  <c r="AG55" i="5"/>
  <c r="AH13" i="5"/>
  <c r="AG53" i="5"/>
  <c r="AH21" i="5"/>
  <c r="AH5" i="5"/>
  <c r="AH8" i="5"/>
  <c r="E175" i="8"/>
  <c r="E162" i="8"/>
  <c r="E172" i="8"/>
  <c r="E90" i="8"/>
  <c r="G90" i="8" s="1"/>
  <c r="AD74" i="6"/>
  <c r="D57" i="11"/>
  <c r="D64" i="11"/>
  <c r="D62" i="11"/>
  <c r="D61" i="11"/>
  <c r="D60" i="11"/>
  <c r="D59" i="11"/>
  <c r="D58" i="11"/>
  <c r="F48" i="11"/>
  <c r="E55" i="11"/>
  <c r="E63" i="11" s="1"/>
  <c r="AC43" i="6"/>
  <c r="AD44" i="6"/>
  <c r="AD36" i="6"/>
  <c r="AC44" i="6"/>
  <c r="AC40" i="6"/>
  <c r="AD38" i="6"/>
  <c r="AD25" i="6"/>
  <c r="AD26" i="6"/>
  <c r="AD37" i="6"/>
  <c r="AD30" i="6"/>
  <c r="AD33" i="6"/>
  <c r="AD40" i="6"/>
  <c r="AC45" i="6"/>
  <c r="AD28" i="6"/>
  <c r="AD43" i="6"/>
  <c r="AD41" i="6"/>
  <c r="AC38" i="6"/>
  <c r="AC29" i="6"/>
  <c r="AC42" i="6"/>
  <c r="AC39" i="6"/>
  <c r="AD34" i="6"/>
  <c r="AC30" i="6"/>
  <c r="AD31" i="6"/>
  <c r="AD32" i="6"/>
  <c r="AD35" i="6"/>
  <c r="AD45" i="6"/>
  <c r="AD27" i="6"/>
  <c r="E141" i="8" l="1"/>
  <c r="G141" i="8" s="1"/>
  <c r="E140" i="8"/>
  <c r="G140" i="8" s="1"/>
  <c r="E163" i="8"/>
  <c r="G163" i="8" s="1"/>
  <c r="E151" i="8"/>
  <c r="G151" i="8" s="1"/>
  <c r="E150" i="8"/>
  <c r="G150" i="8" s="1"/>
  <c r="E154" i="8"/>
  <c r="G154" i="8" s="1"/>
  <c r="E176" i="8"/>
  <c r="G176" i="8" s="1"/>
  <c r="E171" i="8"/>
  <c r="G171" i="8" s="1"/>
  <c r="E173" i="8"/>
  <c r="G173" i="8" s="1"/>
  <c r="E149" i="8"/>
  <c r="G149" i="8" s="1"/>
  <c r="E169" i="8"/>
  <c r="G169" i="8" s="1"/>
  <c r="E156" i="8"/>
  <c r="G156" i="8" s="1"/>
  <c r="E170" i="8"/>
  <c r="G170" i="8" s="1"/>
  <c r="E164" i="8"/>
  <c r="G164" i="8" s="1"/>
  <c r="E168" i="8"/>
  <c r="G168" i="8" s="1"/>
  <c r="E167" i="8"/>
  <c r="G167" i="8" s="1"/>
  <c r="E178" i="8"/>
  <c r="G178" i="8" s="1"/>
  <c r="E165" i="8"/>
  <c r="G165" i="8" s="1"/>
  <c r="E159" i="8"/>
  <c r="G159" i="8" s="1"/>
  <c r="E161" i="8"/>
  <c r="G161" i="8" s="1"/>
  <c r="AC73" i="6"/>
  <c r="E153" i="8"/>
  <c r="G153" i="8" s="1"/>
  <c r="E177" i="8"/>
  <c r="G177" i="8" s="1"/>
  <c r="E174" i="8"/>
  <c r="G174" i="8" s="1"/>
  <c r="E166" i="8"/>
  <c r="G166" i="8" s="1"/>
  <c r="E158" i="8"/>
  <c r="G158" i="8" s="1"/>
  <c r="AD73" i="6"/>
  <c r="E155" i="8"/>
  <c r="G155" i="8" s="1"/>
  <c r="E160" i="8"/>
  <c r="G160" i="8" s="1"/>
  <c r="G175" i="8"/>
  <c r="G172" i="8"/>
  <c r="G162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<sst xmlns="http://schemas.openxmlformats.org/spreadsheetml/2006/main" count="3533" uniqueCount="366">
  <si>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</si>
  <si>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</si>
  <si>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</si>
  <si>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</si>
  <si>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</si>
  <si>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</si>
  <si>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</si>
  <si>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</si>
  <si>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</si>
  <si>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</si>
  <si>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</si>
  <si>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</si>
  <si>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</si>
  <si>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</si>
  <si>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</si>
  <si>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</si>
  <si>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</si>
  <si>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</si>
  <si>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</si>
  <si>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</si>
  <si>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</si>
  <si>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</si>
  <si>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</si>
  <si>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</si>
  <si>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</si>
  <si>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</si>
  <si>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</si>
  <si>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</si>
  <si>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</si>
  <si>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</si>
  <si>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</si>
  <si>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</si>
  <si>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</si>
  <si>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</si>
  <si>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</si>
  <si>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</si>
  <si>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</si>
  <si>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</si>
  <si>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</si>
  <si>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</si>
  <si>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</si>
  <si>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</si>
  <si>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</si>
  <si>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</si>
  <si>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</si>
  <si>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</si>
  <si>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</si>
  <si>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</si>
  <si>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</si>
  <si>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</si>
  <si>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</si>
  <si>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</si>
  <si>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</si>
  <si>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</si>
  <si>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</si>
  <si>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</si>
  <si>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</si>
  <si>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</si>
  <si>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</si>
  <si>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</si>
  <si>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</si>
  <si>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</si>
  <si>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</si>
  <si>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</si>
  <si>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</si>
  <si>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</si>
  <si>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</si>
  <si>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</si>
  <si>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</si>
  <si>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</si>
  <si>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</si>
  <si>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</si>
  <si>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</si>
  <si>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</si>
  <si>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</si>
  <si>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</si>
  <si>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</si>
  <si>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</si>
  <si>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</si>
  <si>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</si>
  <si>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</si>
  <si>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</si>
  <si>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</si>
  <si>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</si>
  <si>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</si>
  <si>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</si>
  <si>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</si>
  <si>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</si>
  <si>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</si>
  <si>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</si>
  <si>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</si>
  <si>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</si>
  <si>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</si>
  <si>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</si>
  <si>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</si>
  <si>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</si>
  <si>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</si>
  <si>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</si>
  <si>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</si>
  <si>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</si>
  <si>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</si>
  <si>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</si>
  <si>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</si>
  <si>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</si>
  <si>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</si>
  <si>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</si>
  <si>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</si>
  <si>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</si>
  <si>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</si>
  <si>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</si>
  <si>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</si>
  <si>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</si>
  <si>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</si>
  <si>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</si>
  <si>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</si>
  <si>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</si>
  <si>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</si>
  <si>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</si>
  <si>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</si>
  <si>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</si>
  <si>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</si>
  <si>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</si>
  <si>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</si>
  <si>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</si>
  <si>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</si>
  <si>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</si>
  <si>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</si>
  <si>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</si>
  <si>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</si>
  <si>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</si>
  <si>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</si>
  <si>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</si>
  <si>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</si>
  <si>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</si>
  <si>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</si>
  <si>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</si>
  <si>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</si>
  <si>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</si>
  <si>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</si>
  <si>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</si>
  <si>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</si>
  <si>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</si>
  <si>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</si>
  <si>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</si>
  <si>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</si>
  <si>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</si>
  <si>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</si>
  <si>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</si>
  <si>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</si>
  <si>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</si>
  <si>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</si>
  <si>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</si>
  <si>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</si>
  <si>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</si>
  <si>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</si>
  <si>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</si>
  <si>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</si>
  <si>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</si>
  <si>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</si>
  <si>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</si>
  <si>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</si>
  <si>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</si>
  <si>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</si>
  <si>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</si>
  <si>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</si>
  <si>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</si>
  <si>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</si>
  <si>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</si>
  <si>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</si>
  <si>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</si>
  <si>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</si>
  <si>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</si>
  <si>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</si>
  <si>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</si>
  <si>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</si>
  <si>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</si>
  <si>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</si>
  <si>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</si>
  <si>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</si>
  <si>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</si>
  <si>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</si>
  <si>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</si>
  <si>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</si>
  <si>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</si>
  <si>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</si>
  <si>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</si>
  <si>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</si>
  <si>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</si>
  <si>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</si>
  <si>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</si>
  <si>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</si>
  <si>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</si>
  <si>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</si>
  <si>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</si>
  <si>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</si>
  <si>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</si>
  <si>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</si>
  <si>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</si>
  <si>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</si>
  <si>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</si>
  <si>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</si>
  <si>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</si>
  <si>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</si>
  <si>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</si>
  <si>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</si>
  <si>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</si>
  <si>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</si>
  <si>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</si>
  <si>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</si>
  <si>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</si>
  <si>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</si>
  <si>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</si>
  <si>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</si>
  <si>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</si>
  <si>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</si>
  <si>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</si>
  <si>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</si>
  <si>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</si>
  <si>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</si>
  <si>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</si>
  <si>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</si>
  <si>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Battery charger 4h</t>
  </si>
  <si>
    <t>Battery discharger 4h</t>
  </si>
  <si>
    <t>Battery charger</t>
  </si>
  <si>
    <t>Battery discharger</t>
  </si>
  <si>
    <t>Splitting batteries according to wind shares</t>
  </si>
  <si>
    <t>https://www.renewableuk.com/energypulse/blog/stacking-up-the-storage-where-the-uk-battery-market-stands-in-2025/</t>
  </si>
  <si>
    <t>MW</t>
  </si>
  <si>
    <t>vomCosts</t>
  </si>
  <si>
    <t>elec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</si>
  <si>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</si>
  <si>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</si>
  <si>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</si>
  <si>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</si>
  <si>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</si>
  <si>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</si>
  <si>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</si>
  <si>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</si>
  <si>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</si>
  <si>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</si>
  <si>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</si>
  <si>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</si>
  <si>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</si>
  <si>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</si>
  <si>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</si>
  <si>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</si>
  <si>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</si>
  <si>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</si>
  <si>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</si>
  <si>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</si>
  <si>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</si>
  <si>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</si>
  <si>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</si>
  <si>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</si>
  <si>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</si>
  <si>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</si>
  <si>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</si>
  <si>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</si>
  <si>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</si>
  <si>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</si>
  <si>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</si>
  <si>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</si>
  <si>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</si>
  <si>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</si>
  <si>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</si>
  <si>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</si>
  <si>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</si>
  <si>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</si>
  <si>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</si>
  <si>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</si>
  <si>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</si>
  <si>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</si>
  <si>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</si>
  <si>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</si>
  <si>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</si>
  <si>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</si>
  <si>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Nuclear-flex</t>
  </si>
  <si>
    <t>DR cutoff tier 3</t>
  </si>
  <si>
    <t>DR cutoff tier 2</t>
  </si>
  <si>
    <t>band</t>
  </si>
  <si>
    <t>lower</t>
  </si>
  <si>
    <t>upper</t>
  </si>
  <si>
    <t>tier1</t>
  </si>
  <si>
    <t>tier2</t>
  </si>
  <si>
    <t>tier3</t>
  </si>
  <si>
    <t>DE-LU</t>
  </si>
  <si>
    <t>Baltic</t>
  </si>
  <si>
    <t>SUM</t>
  </si>
  <si>
    <t>AT00_elec</t>
  </si>
  <si>
    <t>BE00_elec</t>
  </si>
  <si>
    <t>CH00_elec</t>
  </si>
  <si>
    <t>DE00_elec</t>
  </si>
  <si>
    <t>DKW1_elec</t>
  </si>
  <si>
    <t>DKE1_elec</t>
  </si>
  <si>
    <t>EE00_elec</t>
  </si>
  <si>
    <t>ES00_elec</t>
  </si>
  <si>
    <t>FI00_elec</t>
  </si>
  <si>
    <t>FR00_elec</t>
  </si>
  <si>
    <t>LT00_elec</t>
  </si>
  <si>
    <t>LV00_elec</t>
  </si>
  <si>
    <t>NL00_elec</t>
  </si>
  <si>
    <t>NOS0_elec</t>
  </si>
  <si>
    <t>NOM1_elec</t>
  </si>
  <si>
    <t>NON1_elec</t>
  </si>
  <si>
    <t>PL00_elec</t>
  </si>
  <si>
    <t>SE01_elec</t>
  </si>
  <si>
    <t>SE02_elec</t>
  </si>
  <si>
    <t>SE03_elec</t>
  </si>
  <si>
    <t>SE04_elec</t>
  </si>
  <si>
    <t>UK00_elec</t>
  </si>
  <si>
    <t>Normal year demand</t>
  </si>
  <si>
    <t>TWh</t>
  </si>
  <si>
    <t>Unittypes</t>
  </si>
  <si>
    <t>Demand flexibility from bidding curves</t>
  </si>
  <si>
    <t>To unitdata</t>
  </si>
  <si>
    <t>% of flat demand</t>
  </si>
  <si>
    <t>preliminary</t>
  </si>
  <si>
    <t>relative</t>
  </si>
  <si>
    <t>final</t>
  </si>
  <si>
    <t>Cost variation</t>
  </si>
  <si>
    <t>EUR/MWh</t>
  </si>
  <si>
    <t># Tier 1</t>
  </si>
  <si>
    <t># Tier 2</t>
  </si>
  <si>
    <t># Tier 3</t>
  </si>
  <si>
    <t>emission_bioCO2</t>
  </si>
  <si>
    <t>param variance to help solver</t>
  </si>
  <si>
    <t>Data extracted on 10/03/2026 09:16:55 from [ESTAT]</t>
  </si>
  <si>
    <t>Real GDP per capita [sdg_08_10]</t>
  </si>
  <si>
    <t>09/03/2026 23:00</t>
  </si>
  <si>
    <t>Chain linked volumes (2020), euro per capita</t>
  </si>
  <si>
    <t>National accounts indicator (ESA 2010)</t>
  </si>
  <si>
    <t>Gross domestic product at market prices</t>
  </si>
  <si>
    <t>2024</t>
  </si>
  <si>
    <t>Euro area – 21 countries (from 2026)</t>
  </si>
  <si>
    <t>Euro area – 20 countries (2023-2025)</t>
  </si>
  <si>
    <t>Czechia</t>
  </si>
  <si>
    <t>Euro area - 19 countries  (2015-2022)</t>
  </si>
  <si>
    <t>Observation flags:</t>
  </si>
  <si>
    <t>b</t>
  </si>
  <si>
    <t>e</t>
  </si>
  <si>
    <t>p</t>
  </si>
  <si>
    <t>model country</t>
  </si>
  <si>
    <t>Data Source</t>
  </si>
  <si>
    <t>World Development Indicators</t>
  </si>
  <si>
    <t>Last Updated Date</t>
  </si>
  <si>
    <t>Country Name</t>
  </si>
  <si>
    <t>Indicator Name</t>
  </si>
  <si>
    <t>Indicator Code</t>
  </si>
  <si>
    <t>United Kingdom, EUR</t>
  </si>
  <si>
    <t>GDP pc of country</t>
  </si>
  <si>
    <t>GDP per capita (current US$)</t>
  </si>
  <si>
    <t>NY.GDP.PCAP.CD</t>
  </si>
  <si>
    <t>1 EUR to USD</t>
  </si>
  <si>
    <t>https://www.ecb.europa.eu/stats/policy_and_exchange_rates/euro_reference_exchange_rates/html/eurofxref-graph-usd.en.html</t>
  </si>
  <si>
    <t>Switzerland, EUR</t>
  </si>
  <si>
    <t>EU</t>
  </si>
  <si>
    <t>vomCosts country multiplier</t>
  </si>
  <si>
    <t>region multiplier</t>
  </si>
  <si>
    <t># PV</t>
  </si>
  <si>
    <t># Onshore</t>
  </si>
  <si>
    <t># Offshore</t>
  </si>
  <si>
    <t># Copying discharger capacity from charger capacity</t>
  </si>
  <si>
    <t># Query charger capacity from previous sheets</t>
  </si>
  <si>
    <t>cost index 1</t>
  </si>
  <si>
    <t>cost index 2</t>
  </si>
  <si>
    <t>onshore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</si>
</sst>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##########"/>
    <numFmt numFmtId="165" formatCode="#,##0.000"/>
    <numFmt numFmtId="166" formatCode="0.0"/>
    <numFmt numFmtId="167" formatCode="#,##0.0"/>
    <numFmt numFmtId="168" formatCode="0.0%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7" fillId="0" borderId="0" applyNumberFormat="0" applyFill="0" applyBorder="0" applyAlignment="0" applyProtection="0"/>
    <xf numFmtId="0" fontId="17" fillId="0" borderId="0"/>
    <xf numFmtId="0" fontId="17" fillId="0" borderId="0"/>
    <xf numFmtId="9" fontId="20" fillId="0" borderId="0" applyFont="0" applyFill="0" applyBorder="0" applyAlignment="0" applyProtection="0"/>
    <xf numFmtId="0" fontId="21" fillId="0" borderId="0"/>
  </cellStyleXfs>
  <cellXfs count="102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0" fillId="15" borderId="0" xfId="0" applyFill="1"/>
    <xf numFmtId="0" fontId="0" fillId="19" borderId="0" xfId="0" applyFill="1"/>
    <xf numFmtId="0" fontId="19" fillId="0" borderId="10" xfId="0" applyFont="1" applyBorder="1" applyAlignment="1">
      <alignment horizontal="center" vertical="top"/>
    </xf>
    <xf numFmtId="0" fontId="14" fillId="0" borderId="0" xfId="0" applyFont="1"/>
    <xf numFmtId="0" fontId="18" fillId="0" borderId="0" xfId="0" applyFont="1" applyAlignment="1">
      <alignment wrapText="1"/>
    </xf>
    <xf numFmtId="0" fontId="18" fillId="0" borderId="0" xfId="0" applyFont="1"/>
    <xf numFmtId="0" fontId="14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1" borderId="0" xfId="0" applyFill="1"/>
    <xf numFmtId="0" fontId="0" fillId="20" borderId="0" xfId="0" applyFill="1"/>
    <xf numFmtId="0" fontId="1" fillId="0" borderId="0" xfId="0" applyFont="1" applyAlignment="1">
      <alignment horizontal="left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168" fontId="0" fillId="0" borderId="0" xfId="4" applyNumberFormat="1" applyFont="1" applyAlignment="1">
      <alignment horizontal="center"/>
    </xf>
    <xf numFmtId="9" fontId="0" fillId="0" borderId="0" xfId="4" applyFont="1" applyAlignment="1">
      <alignment horizontal="center"/>
    </xf>
    <xf numFmtId="0" fontId="0" fillId="0" borderId="0" xfId="4" applyNumberFormat="1" applyFont="1" applyAlignment="1">
      <alignment horizontal="center"/>
    </xf>
    <xf numFmtId="0" fontId="19" fillId="22" borderId="10" xfId="0" applyFont="1" applyFill="1" applyBorder="1" applyAlignment="1">
      <alignment horizontal="center" vertical="top"/>
    </xf>
    <xf numFmtId="0" fontId="19" fillId="0" borderId="10" xfId="0" applyFont="1" applyBorder="1" applyAlignment="1">
      <alignment horizontal="left" vertical="top"/>
    </xf>
    <xf numFmtId="0" fontId="0" fillId="0" borderId="0" xfId="0" applyAlignment="1">
      <alignment horizontal="left"/>
    </xf>
    <xf numFmtId="14" fontId="0" fillId="0" borderId="0" xfId="0" applyNumberFormat="1"/>
    <xf numFmtId="9" fontId="1" fillId="0" borderId="0" xfId="4" applyFont="1" applyAlignment="1">
      <alignment horizontal="center"/>
    </xf>
    <xf numFmtId="0" fontId="14" fillId="0" borderId="0" xfId="0" applyFont="1" applyAlignment="1">
      <alignment horizontal="center" vertical="top" wrapText="1"/>
    </xf>
    <xf numFmtId="0" fontId="22" fillId="0" borderId="0" xfId="0" applyFont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6">
    <cellStyle name="Hyperlink" xfId="1" builtinId="8"/>
    <cellStyle name="Normal" xfId="0" builtinId="0"/>
    <cellStyle name="Normal 2" xfId="3" xr:uid="{62486F86-6C17-4B0E-AABD-6659D8476E79}"/>
    <cellStyle name="Normal 3" xfId="5" xr:uid="{544AD4DE-0B55-4660-B93A-1084BD71BD3F}"/>
    <cellStyle name="Percent" xfId="4" builtinId="5"/>
    <cellStyle name="Standard_Data provided by OT3" xfId="2" xr:uid="{CF5A235E-FF11-451C-B874-DD8F77BDC2C9}"/>
  </cellStyles>
  <dxfs count="3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7"/>
          <bgColor theme="7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</row>
        <row r="3">
          <cell r="C3" t="str">
            <v>Onshore Wind</v>
          </cell>
          <cell r="S3">
            <v>1</v>
          </cell>
        </row>
        <row r="4">
          <cell r="C4" t="str">
            <v>Offshore Wind</v>
          </cell>
          <cell r="S4">
            <v>1.5</v>
          </cell>
        </row>
        <row r="5">
          <cell r="C5" t="str">
            <v>Solar PV</v>
          </cell>
          <cell r="S5">
            <v>0.5</v>
          </cell>
        </row>
        <row r="7">
          <cell r="C7" t="str">
            <v>Run-of-River</v>
          </cell>
          <cell r="S7">
            <v>2</v>
          </cell>
        </row>
        <row r="8">
          <cell r="C8" t="str">
            <v>Reservoir</v>
          </cell>
          <cell r="S8">
            <v>2</v>
          </cell>
        </row>
        <row r="9">
          <cell r="C9" t="str">
            <v>PS Open turbine</v>
          </cell>
          <cell r="S9">
            <v>1.5</v>
          </cell>
        </row>
        <row r="10">
          <cell r="C10" t="str">
            <v>PS Open pump</v>
          </cell>
          <cell r="S10">
            <v>1.5</v>
          </cell>
        </row>
        <row r="11">
          <cell r="C11" t="str">
            <v>PS Closed turbine</v>
          </cell>
          <cell r="S11">
            <v>1</v>
          </cell>
        </row>
        <row r="12">
          <cell r="C12" t="str">
            <v>PS Closed pump</v>
          </cell>
          <cell r="S12">
            <v>1</v>
          </cell>
        </row>
        <row r="14">
          <cell r="C14" t="str">
            <v>Oil shale old</v>
          </cell>
          <cell r="S14">
            <v>3.3</v>
          </cell>
        </row>
        <row r="15">
          <cell r="C15" t="str">
            <v>Oil shale new Bio</v>
          </cell>
          <cell r="S15">
            <v>3.3</v>
          </cell>
        </row>
        <row r="16">
          <cell r="C16" t="str">
            <v>Oil shale new</v>
          </cell>
          <cell r="S16">
            <v>3.3</v>
          </cell>
        </row>
        <row r="17">
          <cell r="C17" t="str">
            <v>Lignite old 2 Bio</v>
          </cell>
          <cell r="S17">
            <v>3.3</v>
          </cell>
        </row>
        <row r="18">
          <cell r="C18" t="str">
            <v>Lignite old 2</v>
          </cell>
          <cell r="S18">
            <v>3.3</v>
          </cell>
        </row>
        <row r="19">
          <cell r="C19" t="str">
            <v>Lignite old 1 Bio</v>
          </cell>
          <cell r="S19">
            <v>3.3</v>
          </cell>
        </row>
        <row r="20">
          <cell r="C20" t="str">
            <v>Lignite old 1</v>
          </cell>
          <cell r="S20">
            <v>3.3</v>
          </cell>
        </row>
        <row r="21">
          <cell r="C21" t="str">
            <v>Lignite new</v>
          </cell>
          <cell r="S21">
            <v>3.3</v>
          </cell>
        </row>
        <row r="22">
          <cell r="C22" t="str">
            <v>Lignite CCS</v>
          </cell>
          <cell r="S22">
            <v>6.6</v>
          </cell>
        </row>
        <row r="23">
          <cell r="C23" t="str">
            <v>Light oil</v>
          </cell>
          <cell r="S23">
            <v>1.1000000000000001</v>
          </cell>
        </row>
        <row r="24">
          <cell r="C24" t="str">
            <v>Heavy oil old 2</v>
          </cell>
          <cell r="S24">
            <v>3.3</v>
          </cell>
        </row>
        <row r="25">
          <cell r="C25" t="str">
            <v>Heavy oil old 1</v>
          </cell>
          <cell r="S25">
            <v>3.3</v>
          </cell>
        </row>
        <row r="26">
          <cell r="C26" t="str">
            <v>Heavy oil old 1 Bio</v>
          </cell>
          <cell r="S26">
            <v>3.3</v>
          </cell>
        </row>
        <row r="27">
          <cell r="C27" t="str">
            <v>Hard coal old 1 Bio</v>
          </cell>
          <cell r="S27">
            <v>3.3</v>
          </cell>
        </row>
        <row r="28">
          <cell r="C28" t="str">
            <v>Hard coal old 2 Bio</v>
          </cell>
          <cell r="S28">
            <v>3.3</v>
          </cell>
        </row>
        <row r="29">
          <cell r="C29" t="str">
            <v>Hard coal old 2</v>
          </cell>
          <cell r="S29">
            <v>3.3</v>
          </cell>
        </row>
        <row r="30">
          <cell r="C30" t="str">
            <v>Hard coal old 1</v>
          </cell>
          <cell r="S30">
            <v>3.3</v>
          </cell>
        </row>
        <row r="31">
          <cell r="C31" t="str">
            <v>Hard coal new Bio</v>
          </cell>
          <cell r="S31">
            <v>3.3</v>
          </cell>
        </row>
        <row r="32">
          <cell r="C32" t="str">
            <v>Hard coal new</v>
          </cell>
          <cell r="S32">
            <v>3.3</v>
          </cell>
        </row>
        <row r="33">
          <cell r="C33" t="str">
            <v>Gas conventional old 2 Bio</v>
          </cell>
          <cell r="S33">
            <v>1.1000000000000001</v>
          </cell>
        </row>
        <row r="34">
          <cell r="C34" t="str">
            <v>Gas conventional old 2</v>
          </cell>
          <cell r="S34">
            <v>1.1000000000000001</v>
          </cell>
        </row>
        <row r="35">
          <cell r="C35" t="str">
            <v>Gas conventional old 1</v>
          </cell>
          <cell r="S35">
            <v>1.1000000000000001</v>
          </cell>
        </row>
        <row r="36">
          <cell r="C36" t="str">
            <v>Gas OCGT old</v>
          </cell>
          <cell r="S36">
            <v>1.6</v>
          </cell>
        </row>
        <row r="37">
          <cell r="C37" t="str">
            <v>Gas OCGT new</v>
          </cell>
          <cell r="S37">
            <v>1.6</v>
          </cell>
        </row>
        <row r="38">
          <cell r="C38" t="str">
            <v>Gas CCGT present 2</v>
          </cell>
          <cell r="S38">
            <v>1.6</v>
          </cell>
        </row>
        <row r="39">
          <cell r="C39" t="str">
            <v>Gas CCGT present 1</v>
          </cell>
          <cell r="S39">
            <v>1.6</v>
          </cell>
        </row>
        <row r="40">
          <cell r="C40" t="str">
            <v>Gas CCGT old 2 Bio</v>
          </cell>
          <cell r="S40">
            <v>1.6</v>
          </cell>
        </row>
        <row r="41">
          <cell r="C41" t="str">
            <v>Gas CCGT old 2</v>
          </cell>
          <cell r="S41">
            <v>1.6</v>
          </cell>
        </row>
        <row r="42">
          <cell r="C42" t="str">
            <v>Gas CCGT old 1</v>
          </cell>
          <cell r="S42">
            <v>1.6</v>
          </cell>
        </row>
        <row r="43">
          <cell r="C43" t="str">
            <v>Gas CCGT new</v>
          </cell>
          <cell r="S43">
            <v>1.6</v>
          </cell>
        </row>
        <row r="45">
          <cell r="C45" t="str">
            <v>Hard coal CCS</v>
          </cell>
          <cell r="S45">
            <v>6.6</v>
          </cell>
        </row>
        <row r="46">
          <cell r="C46" t="str">
            <v>Gas CCGT CCS</v>
          </cell>
          <cell r="S46">
            <v>3.2</v>
          </cell>
        </row>
        <row r="48">
          <cell r="C48" t="str">
            <v>Nuclear</v>
          </cell>
          <cell r="S48">
            <v>3</v>
          </cell>
        </row>
        <row r="49">
          <cell r="C49" t="str">
            <v>Nuclear-flex</v>
          </cell>
          <cell r="S49">
            <v>3.1</v>
          </cell>
        </row>
        <row r="51">
          <cell r="C51" t="str">
            <v>Industry renewable CHP</v>
          </cell>
          <cell r="S51">
            <v>2</v>
          </cell>
        </row>
        <row r="52">
          <cell r="C52" t="str">
            <v>Industry non-renewable CHP</v>
          </cell>
          <cell r="S52">
            <v>2</v>
          </cell>
        </row>
        <row r="53">
          <cell r="C53" t="str">
            <v>Industry gas CHP</v>
          </cell>
          <cell r="S53">
            <v>2</v>
          </cell>
        </row>
        <row r="55">
          <cell r="C55" t="str">
            <v>Battery discharger 4h</v>
          </cell>
          <cell r="S55">
            <v>1.2</v>
          </cell>
        </row>
        <row r="56">
          <cell r="C56" t="str">
            <v>Battery discharger</v>
          </cell>
          <cell r="S56">
            <v>1</v>
          </cell>
        </row>
        <row r="57">
          <cell r="C57" t="str">
            <v>Battery charger 4h</v>
          </cell>
          <cell r="S57">
            <v>1.2</v>
          </cell>
        </row>
        <row r="58">
          <cell r="C58" t="str">
            <v>Battery charger</v>
          </cell>
          <cell r="S58">
            <v>1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</row>
        <row r="63">
          <cell r="C63" t="str">
            <v>Oil HOB</v>
          </cell>
          <cell r="S63">
            <v>2</v>
          </cell>
        </row>
        <row r="64">
          <cell r="C64" t="str">
            <v>Gas HOB</v>
          </cell>
          <cell r="S64">
            <v>2</v>
          </cell>
        </row>
        <row r="65">
          <cell r="C65" t="str">
            <v>Bio HOB</v>
          </cell>
          <cell r="S65">
            <v>2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</row>
        <row r="68">
          <cell r="C68" t="str">
            <v>Coal CHP</v>
          </cell>
          <cell r="S68">
            <v>2</v>
          </cell>
        </row>
        <row r="69">
          <cell r="C69" t="str">
            <v>Bio CHP</v>
          </cell>
          <cell r="S69">
            <v>2</v>
          </cell>
        </row>
        <row r="70">
          <cell r="C70" t="str">
            <v>Gas CCGT CHP</v>
          </cell>
          <cell r="S70">
            <v>1.6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</row>
        <row r="73">
          <cell r="C73" t="str">
            <v>Bio CHP extraction</v>
          </cell>
          <cell r="S73">
            <v>2</v>
          </cell>
        </row>
        <row r="74">
          <cell r="C74" t="str">
            <v>Gas CHP extraction</v>
          </cell>
          <cell r="S74">
            <v>1.6</v>
          </cell>
        </row>
        <row r="75">
          <cell r="C75" t="str">
            <v>Oil shale CHP</v>
          </cell>
          <cell r="S75">
            <v>3.3</v>
          </cell>
        </row>
        <row r="76">
          <cell r="C76" t="str">
            <v>Gas OCGT CHP</v>
          </cell>
          <cell r="S76">
            <v>1.6</v>
          </cell>
        </row>
        <row r="77">
          <cell r="C77" t="str">
            <v>Heat storage discharger</v>
          </cell>
          <cell r="S77">
            <v>1</v>
          </cell>
        </row>
        <row r="78">
          <cell r="C78" t="str">
            <v>Heat storage charger</v>
          </cell>
          <cell r="S78">
            <v>1</v>
          </cell>
        </row>
        <row r="79">
          <cell r="C79" t="str">
            <v>Large heat storage discharger</v>
          </cell>
          <cell r="S79">
            <v>1.5</v>
          </cell>
        </row>
        <row r="80">
          <cell r="C80" t="str">
            <v>Large heat storage charger</v>
          </cell>
          <cell r="S80">
            <v>1.5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</v>
          </cell>
        </row>
        <row r="91">
          <cell r="C91" t="str">
            <v>Electrolyser-SOEC</v>
          </cell>
          <cell r="S91">
            <v>1</v>
          </cell>
        </row>
        <row r="92">
          <cell r="C92" t="str">
            <v>Hydrogen OCGT</v>
          </cell>
          <cell r="S92">
            <v>5</v>
          </cell>
        </row>
        <row r="93">
          <cell r="C93" t="str">
            <v>Short-term hydrogen storage discharger</v>
          </cell>
          <cell r="S93">
            <v>0</v>
          </cell>
        </row>
        <row r="94">
          <cell r="C94" t="str">
            <v>Short-term hydrogen storage charger</v>
          </cell>
          <cell r="S94">
            <v>0</v>
          </cell>
        </row>
        <row r="95">
          <cell r="C95" t="str">
            <v>Long-term hydrogen storage discharger</v>
          </cell>
          <cell r="S95">
            <v>0</v>
          </cell>
        </row>
        <row r="96">
          <cell r="C96" t="str">
            <v>Long-term hydrogen storage charger</v>
          </cell>
          <cell r="S96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F106" totalsRowShown="0" headerRowDxfId="36" dataDxfId="34" headerRowBorderDxfId="35" tableBorderDxfId="33">
  <autoFilter ref="A1:F106" xr:uid="{E20E85B3-70B8-42FA-A4DB-D01011C9C779}"/>
  <sortState xmlns:xlrd2="http://schemas.microsoft.com/office/spreadsheetml/2017/richdata2" ref="A2:F106">
    <sortCondition ref="A1:A106"/>
  </sortState>
  <tableColumns count="6">
    <tableColumn id="1" xr3:uid="{9E8A91B3-5637-47C2-B0AE-8BCDAB50C806}" name="Country" dataDxfId="32"/>
    <tableColumn id="2" xr3:uid="{41E09046-0D25-4DEB-9887-2ECB6AE473F2}" name="Generator_ID" dataDxfId="31"/>
    <tableColumn id="3" xr3:uid="{5500E0F2-38FA-425D-A49B-9DFF7856120F}" name="Scenario" dataDxfId="30"/>
    <tableColumn id="4" xr3:uid="{2F7FD309-B9BB-4C5B-B61A-862D1DC7A785}" name="Year" dataDxfId="29"/>
    <tableColumn id="5" xr3:uid="{278785FB-0A20-4E0A-8E84-551D5FDF9FC2}" name="capacity_output1" dataDxfId="28"/>
    <tableColumn id="6" xr3:uid="{E48C78BB-51CD-490E-8B43-C4B84C6DDF67}" name="vomCosts" dataDxfId="27">
      <calculatedColumnFormula>ROUND( VLOOKUP($B2,$L$2:$M$26, 2, FALSE) * (1+ VLOOKUP($A2,'vomcost mult'!$N$10:$R$32,5, FALSE)), 2)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9FA67-DEB7-4516-91A9-7CF17095E2EC}" name="Table4" displayName="Table4" ref="A1:F70" totalsRowShown="0" headerRowDxfId="26" dataDxfId="24" headerRowBorderDxfId="25" tableBorderDxfId="23">
  <autoFilter ref="A1:F70" xr:uid="{3889FA67-DEB7-4516-91A9-7CF17095E2EC}"/>
  <tableColumns count="6">
    <tableColumn id="1" xr3:uid="{E45B6B69-99E0-46CC-B622-954E9F00977C}" name="Country" dataDxfId="22"/>
    <tableColumn id="2" xr3:uid="{0C46E4F6-5176-430E-8288-0E4AD27B50FB}" name="Generator_ID" dataDxfId="21"/>
    <tableColumn id="3" xr3:uid="{23013750-786E-46E4-BB5A-5093E68C9E50}" name="Scenario" dataDxfId="20"/>
    <tableColumn id="4" xr3:uid="{34290B83-B2CB-4767-BBB2-F1BACB31B343}" name="Year" dataDxfId="19"/>
    <tableColumn id="5" xr3:uid="{C5354F01-9DC1-45FC-9DAC-9FEB4789196D}" name="capacity_output1" dataDxfId="18"/>
    <tableColumn id="6" xr3:uid="{4BC02F33-D1CC-4D1B-829D-EC13C6E66759}" name="vomCosts" dataDxfId="17">
      <calculatedColumnFormula>400+V5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H93" totalsRowShown="0" headerRowDxfId="16" headerRowBorderDxfId="15" tableBorderDxfId="14">
  <autoFilter ref="A1:H93" xr:uid="{B440C99F-3BB1-4A8C-9867-FC60A58307DE}"/>
  <tableColumns count="8">
    <tableColumn id="1" xr3:uid="{4D600E68-4859-4617-99C0-EA7B63208C31}" name="grid" dataDxfId="13"/>
    <tableColumn id="2" xr3:uid="{55683E09-DD2F-48C0-AB3E-CC91087C7173}" name="from_country" dataDxfId="12"/>
    <tableColumn id="3" xr3:uid="{C8327C88-FBE8-4FC2-A619-A4BA01413A1C}" name="to_country" dataDxfId="11"/>
    <tableColumn id="4" xr3:uid="{742C6874-D199-4EE2-A562-EA0C285890D2}" name="scenario" dataDxfId="10"/>
    <tableColumn id="5" xr3:uid="{1268EAAB-42FE-4A83-98BF-F41F14FEF437}" name="Year" dataDxfId="9"/>
    <tableColumn id="6" xr3:uid="{DD03EC9C-1908-4818-A7AD-696B46FD7E55}" name="transferCap" dataDxfId="8"/>
    <tableColumn id="8" xr3:uid="{858FE1C4-CAB1-497D-B42D-428703C91594}" name="variableTransCost" dataDxfId="7">
      <calculatedColumnFormula>M2</calculatedColumnFormula>
    </tableColumn>
    <tableColumn id="9" xr3:uid="{BEFF1833-3A5D-4270-8A18-81866BBAA2B1}" name="transferLoss" dataDxfId="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11" totalsRowShown="0" headerRowDxfId="5">
  <autoFilter ref="A1:F11" xr:uid="{D9844F2F-2EE0-434B-9492-0280A28AB057}"/>
  <tableColumns count="6">
    <tableColumn id="1" xr3:uid="{46AB9A07-935D-4BDF-BDAD-833C2B08B5EA}" name="Scenario" dataDxfId="4"/>
    <tableColumn id="2" xr3:uid="{9C0117C3-729A-4483-9D40-255263DE774C}" name="Year"/>
    <tableColumn id="3" xr3:uid="{F8AC0906-AF4C-4DB5-A628-E0D92C5871CF}" name="grid" dataDxfId="3"/>
    <tableColumn id="6" xr3:uid="{5DE58EB2-B819-4C37-B8D5-9DAA3695DA87}" name="Country" dataDxfId="2"/>
    <tableColumn id="4" xr3:uid="{2FBFC74F-134A-4E2A-8A69-7E943A399965}" name="price" dataDxfId="1"/>
    <tableColumn id="5" xr3:uid="{78F6DB46-B023-4964-AA01-C06A0F1B985D}" name="emission_CO2" dataDxfId="0">
      <calculatedColumnFormula>IFERROR(VLOOKUP($C2, [2]data_fuelEmissions!$D$4:$F$14,3,FALSE),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C7251-1391-46D0-AC9C-FF56708C84B2}">
  <sheetPr>
    <tabColor theme="4" tint="0.59999389629810485"/>
  </sheetPr>
  <dimension ref="A1:R76"/>
  <sheetViews>
    <sheetView workbookViewId="0">
      <selection activeCell="Q16" sqref="Q16"/>
    </sheetView>
  </sheetViews>
  <sheetFormatPr defaultRowHeight="15"/>
  <cols>
    <col min="1" max="1" width="29.85546875" customWidth="1"/>
    <col min="2" max="6" width="10" customWidth="1"/>
    <col min="15" max="15" width="18.140625" customWidth="1"/>
    <col min="16" max="16" width="23.140625" customWidth="1"/>
  </cols>
  <sheetData>
    <row r="1" spans="1:18">
      <c r="A1" s="27" t="s">
        <v>326</v>
      </c>
    </row>
    <row r="2" spans="1:18">
      <c r="A2" s="27" t="s">
        <v>148</v>
      </c>
      <c r="B2" s="28" t="s">
        <v>327</v>
      </c>
    </row>
    <row r="3" spans="1:18">
      <c r="A3" s="27" t="s">
        <v>150</v>
      </c>
      <c r="B3" s="27" t="s">
        <v>328</v>
      </c>
    </row>
    <row r="5" spans="1:18">
      <c r="A5" s="28" t="s">
        <v>152</v>
      </c>
      <c r="C5" s="27" t="s">
        <v>153</v>
      </c>
    </row>
    <row r="6" spans="1:18">
      <c r="A6" s="28" t="s">
        <v>158</v>
      </c>
      <c r="C6" s="27" t="s">
        <v>329</v>
      </c>
    </row>
    <row r="7" spans="1:18">
      <c r="A7" s="28" t="s">
        <v>330</v>
      </c>
      <c r="C7" s="27" t="s">
        <v>331</v>
      </c>
    </row>
    <row r="9" spans="1:18">
      <c r="A9" s="29" t="s">
        <v>160</v>
      </c>
      <c r="B9" s="39" t="s">
        <v>168</v>
      </c>
      <c r="C9" s="39" t="s">
        <v>169</v>
      </c>
      <c r="D9" s="39" t="s">
        <v>170</v>
      </c>
      <c r="E9" s="39" t="s">
        <v>171</v>
      </c>
      <c r="F9" s="39" t="s">
        <v>332</v>
      </c>
    </row>
    <row r="10" spans="1:18">
      <c r="A10" s="30" t="s">
        <v>172</v>
      </c>
      <c r="B10" s="31" t="s">
        <v>162</v>
      </c>
      <c r="C10" s="31" t="s">
        <v>162</v>
      </c>
      <c r="D10" s="31" t="s">
        <v>162</v>
      </c>
      <c r="E10" s="31" t="s">
        <v>162</v>
      </c>
      <c r="F10" s="31" t="s">
        <v>162</v>
      </c>
      <c r="J10" t="s">
        <v>341</v>
      </c>
      <c r="O10" t="s">
        <v>349</v>
      </c>
      <c r="P10" t="s">
        <v>356</v>
      </c>
      <c r="Q10" t="s">
        <v>357</v>
      </c>
      <c r="R10" s="23" t="s">
        <v>318</v>
      </c>
    </row>
    <row r="11" spans="1:18">
      <c r="A11" s="32" t="s">
        <v>173</v>
      </c>
      <c r="B11" s="36">
        <v>30510</v>
      </c>
      <c r="C11" s="36">
        <v>32470</v>
      </c>
      <c r="D11" s="36">
        <v>33420</v>
      </c>
      <c r="E11" s="36">
        <v>33400</v>
      </c>
      <c r="F11" s="36">
        <v>33650</v>
      </c>
      <c r="N11" s="17" t="s">
        <v>111</v>
      </c>
      <c r="O11" s="19">
        <f t="shared" ref="O11:O32" si="0">SUMIFS($F:$F,$J:$J,LEFT($N11,2))</f>
        <v>45140</v>
      </c>
      <c r="P11" s="83">
        <f>LOG(O11/O$34)</f>
        <v>0.12757648618174755</v>
      </c>
      <c r="Q11" s="19">
        <v>1</v>
      </c>
      <c r="R11" s="89">
        <f>ROUND(P11*Q11, 3)</f>
        <v>0.128</v>
      </c>
    </row>
    <row r="12" spans="1:18">
      <c r="A12" s="32" t="s">
        <v>333</v>
      </c>
      <c r="B12" s="33">
        <v>33160</v>
      </c>
      <c r="C12" s="33">
        <v>35280</v>
      </c>
      <c r="D12" s="33">
        <v>36400</v>
      </c>
      <c r="E12" s="33">
        <v>36340</v>
      </c>
      <c r="F12" s="33">
        <v>36530</v>
      </c>
      <c r="N12" s="17" t="s">
        <v>114</v>
      </c>
      <c r="O12" s="19">
        <f t="shared" si="0"/>
        <v>44440</v>
      </c>
      <c r="P12" s="83">
        <f t="shared" ref="P12:P32" si="1">LOG(O12/O$34)</f>
        <v>0.12078898170883434</v>
      </c>
      <c r="Q12" s="19">
        <v>1</v>
      </c>
      <c r="R12" s="89">
        <f t="shared" ref="R12:R32" si="2">ROUND(P12*Q12, 3)</f>
        <v>0.121</v>
      </c>
    </row>
    <row r="13" spans="1:18">
      <c r="A13" s="32" t="s">
        <v>334</v>
      </c>
      <c r="B13" s="36">
        <v>33610</v>
      </c>
      <c r="C13" s="36">
        <v>35750</v>
      </c>
      <c r="D13" s="36">
        <v>36880</v>
      </c>
      <c r="E13" s="36">
        <v>36810</v>
      </c>
      <c r="F13" s="36">
        <v>36990</v>
      </c>
      <c r="N13" s="17" t="s">
        <v>116</v>
      </c>
      <c r="O13" s="19">
        <f t="shared" si="0"/>
        <v>96081</v>
      </c>
      <c r="P13" s="83">
        <f t="shared" si="1"/>
        <v>0.4556524459454061</v>
      </c>
      <c r="Q13" s="19">
        <v>1</v>
      </c>
      <c r="R13" s="89">
        <f t="shared" si="2"/>
        <v>0.45600000000000002</v>
      </c>
    </row>
    <row r="14" spans="1:18">
      <c r="A14" s="32" t="s">
        <v>25</v>
      </c>
      <c r="B14" s="33">
        <v>40190</v>
      </c>
      <c r="C14" s="33">
        <v>42530</v>
      </c>
      <c r="D14" s="33">
        <v>43860</v>
      </c>
      <c r="E14" s="33">
        <v>44230</v>
      </c>
      <c r="F14" s="33">
        <v>44440</v>
      </c>
      <c r="J14" t="s">
        <v>76</v>
      </c>
      <c r="N14" s="17" t="s">
        <v>117</v>
      </c>
      <c r="O14" s="19">
        <f t="shared" si="0"/>
        <v>43110</v>
      </c>
      <c r="P14" s="83">
        <f t="shared" si="1"/>
        <v>0.1075929542938924</v>
      </c>
      <c r="Q14" s="19">
        <v>1</v>
      </c>
      <c r="R14" s="89">
        <f t="shared" si="2"/>
        <v>0.108</v>
      </c>
    </row>
    <row r="15" spans="1:18">
      <c r="A15" s="32" t="s">
        <v>37</v>
      </c>
      <c r="B15" s="36">
        <v>9440</v>
      </c>
      <c r="C15" s="36">
        <v>10250</v>
      </c>
      <c r="D15" s="36">
        <v>10740</v>
      </c>
      <c r="E15" s="36">
        <v>10950</v>
      </c>
      <c r="F15" s="36">
        <v>11330</v>
      </c>
      <c r="N15" s="17" t="s">
        <v>118</v>
      </c>
      <c r="O15" s="19">
        <f t="shared" si="0"/>
        <v>58160</v>
      </c>
      <c r="P15" s="83">
        <f t="shared" si="1"/>
        <v>0.2376393292909858</v>
      </c>
      <c r="Q15" s="19">
        <v>1.05</v>
      </c>
      <c r="R15" s="89">
        <f t="shared" si="2"/>
        <v>0.25</v>
      </c>
    </row>
    <row r="16" spans="1:18">
      <c r="A16" s="32" t="s">
        <v>335</v>
      </c>
      <c r="B16" s="33">
        <v>20980</v>
      </c>
      <c r="C16" s="33">
        <v>21830</v>
      </c>
      <c r="D16" s="33">
        <v>21910</v>
      </c>
      <c r="E16" s="33">
        <v>21680</v>
      </c>
      <c r="F16" s="33">
        <v>21920</v>
      </c>
      <c r="N16" s="17" t="s">
        <v>119</v>
      </c>
      <c r="O16" s="19">
        <f t="shared" si="0"/>
        <v>58160</v>
      </c>
      <c r="P16" s="83">
        <f t="shared" si="1"/>
        <v>0.2376393292909858</v>
      </c>
      <c r="Q16" s="19">
        <v>1</v>
      </c>
      <c r="R16" s="89">
        <f t="shared" si="2"/>
        <v>0.23799999999999999</v>
      </c>
    </row>
    <row r="17" spans="1:18">
      <c r="A17" s="32" t="s">
        <v>23</v>
      </c>
      <c r="B17" s="36">
        <v>53540</v>
      </c>
      <c r="C17" s="36">
        <v>56780</v>
      </c>
      <c r="D17" s="36">
        <v>56530</v>
      </c>
      <c r="E17" s="36">
        <v>56470</v>
      </c>
      <c r="F17" s="36">
        <v>58160</v>
      </c>
      <c r="J17" t="s">
        <v>74</v>
      </c>
      <c r="N17" s="17" t="s">
        <v>120</v>
      </c>
      <c r="O17" s="19">
        <f t="shared" si="0"/>
        <v>21060</v>
      </c>
      <c r="P17" s="83">
        <f t="shared" si="1"/>
        <v>-0.20352670171052795</v>
      </c>
      <c r="Q17" s="19">
        <v>1</v>
      </c>
      <c r="R17" s="89">
        <f t="shared" si="2"/>
        <v>-0.20399999999999999</v>
      </c>
    </row>
    <row r="18" spans="1:18">
      <c r="A18" s="32" t="s">
        <v>13</v>
      </c>
      <c r="B18" s="33">
        <v>42020</v>
      </c>
      <c r="C18" s="33">
        <v>43730</v>
      </c>
      <c r="D18" s="33">
        <v>44230</v>
      </c>
      <c r="E18" s="33">
        <v>43450</v>
      </c>
      <c r="F18" s="33">
        <v>43110</v>
      </c>
      <c r="J18" t="s">
        <v>64</v>
      </c>
      <c r="N18" s="17" t="s">
        <v>121</v>
      </c>
      <c r="O18" s="19">
        <f t="shared" si="0"/>
        <v>27800</v>
      </c>
      <c r="P18" s="83">
        <f t="shared" si="1"/>
        <v>-8.2940272641919402E-2</v>
      </c>
      <c r="Q18" s="19">
        <v>1</v>
      </c>
      <c r="R18" s="89">
        <f t="shared" si="2"/>
        <v>-8.3000000000000004E-2</v>
      </c>
    </row>
    <row r="19" spans="1:18">
      <c r="A19" s="32" t="s">
        <v>36</v>
      </c>
      <c r="B19" s="36">
        <v>20960</v>
      </c>
      <c r="C19" s="36">
        <v>22670</v>
      </c>
      <c r="D19" s="36">
        <v>22370</v>
      </c>
      <c r="E19" s="36">
        <v>21210</v>
      </c>
      <c r="F19" s="36">
        <v>21060</v>
      </c>
      <c r="J19" t="s">
        <v>86</v>
      </c>
      <c r="N19" s="17" t="s">
        <v>122</v>
      </c>
      <c r="O19" s="19">
        <f t="shared" si="0"/>
        <v>43110</v>
      </c>
      <c r="P19" s="83">
        <f t="shared" si="1"/>
        <v>0.1075929542938924</v>
      </c>
      <c r="Q19" s="19">
        <v>1</v>
      </c>
      <c r="R19" s="89">
        <f t="shared" si="2"/>
        <v>0.108</v>
      </c>
    </row>
    <row r="20" spans="1:18">
      <c r="A20" s="32" t="s">
        <v>28</v>
      </c>
      <c r="B20" s="33">
        <v>75820</v>
      </c>
      <c r="C20" s="33">
        <v>87160</v>
      </c>
      <c r="D20" s="33">
        <v>91760</v>
      </c>
      <c r="E20" s="33">
        <v>87810</v>
      </c>
      <c r="F20" s="33">
        <v>88600</v>
      </c>
      <c r="N20" s="17" t="s">
        <v>123</v>
      </c>
      <c r="O20" s="19">
        <f t="shared" si="0"/>
        <v>38110</v>
      </c>
      <c r="P20" s="83">
        <f t="shared" si="1"/>
        <v>5.4053880212171543E-2</v>
      </c>
      <c r="Q20" s="19">
        <v>1</v>
      </c>
      <c r="R20" s="89">
        <f t="shared" si="2"/>
        <v>5.3999999999999999E-2</v>
      </c>
    </row>
    <row r="21" spans="1:18">
      <c r="A21" s="32" t="s">
        <v>26</v>
      </c>
      <c r="B21" s="36">
        <v>15660</v>
      </c>
      <c r="C21" s="36">
        <v>17110</v>
      </c>
      <c r="D21" s="36">
        <v>18160</v>
      </c>
      <c r="E21" s="36">
        <v>18600</v>
      </c>
      <c r="F21" s="36">
        <v>19020</v>
      </c>
      <c r="N21" s="17" t="s">
        <v>124</v>
      </c>
      <c r="O21" s="19">
        <f t="shared" si="0"/>
        <v>19690</v>
      </c>
      <c r="P21" s="83">
        <f t="shared" si="1"/>
        <v>-0.2327393524218774</v>
      </c>
      <c r="Q21" s="19">
        <v>1</v>
      </c>
      <c r="R21" s="89">
        <f t="shared" si="2"/>
        <v>-0.23300000000000001</v>
      </c>
    </row>
    <row r="22" spans="1:18">
      <c r="A22" s="32" t="s">
        <v>15</v>
      </c>
      <c r="B22" s="33">
        <v>23850</v>
      </c>
      <c r="C22" s="33">
        <v>25440</v>
      </c>
      <c r="D22" s="33">
        <v>26820</v>
      </c>
      <c r="E22" s="33">
        <v>27150</v>
      </c>
      <c r="F22" s="33">
        <v>27800</v>
      </c>
      <c r="J22" t="s">
        <v>66</v>
      </c>
      <c r="N22" s="17" t="s">
        <v>125</v>
      </c>
      <c r="O22" s="19">
        <f t="shared" si="0"/>
        <v>16910</v>
      </c>
      <c r="P22" s="83">
        <f t="shared" si="1"/>
        <v>-0.29884146096225389</v>
      </c>
      <c r="Q22" s="19">
        <v>1</v>
      </c>
      <c r="R22" s="89">
        <f t="shared" si="2"/>
        <v>-0.29899999999999999</v>
      </c>
    </row>
    <row r="23" spans="1:18">
      <c r="A23" s="32" t="s">
        <v>16</v>
      </c>
      <c r="B23" s="36">
        <v>34280</v>
      </c>
      <c r="C23" s="36">
        <v>36470</v>
      </c>
      <c r="D23" s="36">
        <v>37320</v>
      </c>
      <c r="E23" s="36">
        <v>37760</v>
      </c>
      <c r="F23" s="36">
        <v>38110</v>
      </c>
      <c r="J23" t="s">
        <v>67</v>
      </c>
      <c r="N23" s="17" t="s">
        <v>126</v>
      </c>
      <c r="O23" s="19">
        <f t="shared" si="0"/>
        <v>50880</v>
      </c>
      <c r="P23" s="83">
        <f t="shared" si="1"/>
        <v>0.17956203408036178</v>
      </c>
      <c r="Q23" s="19">
        <v>1</v>
      </c>
      <c r="R23" s="89">
        <f t="shared" si="2"/>
        <v>0.18</v>
      </c>
    </row>
    <row r="24" spans="1:18">
      <c r="A24" s="32" t="s">
        <v>34</v>
      </c>
      <c r="B24" s="33">
        <v>12980</v>
      </c>
      <c r="C24" s="33">
        <v>14750</v>
      </c>
      <c r="D24" s="33">
        <v>15900</v>
      </c>
      <c r="E24" s="33">
        <v>16490</v>
      </c>
      <c r="F24" s="33">
        <v>17060</v>
      </c>
      <c r="N24" s="17" t="s">
        <v>127</v>
      </c>
      <c r="O24" s="19">
        <f t="shared" si="0"/>
        <v>66460</v>
      </c>
      <c r="P24" s="83">
        <f t="shared" si="1"/>
        <v>0.2955752683826966</v>
      </c>
      <c r="Q24" s="19">
        <v>1.05</v>
      </c>
      <c r="R24" s="89">
        <f t="shared" si="2"/>
        <v>0.31</v>
      </c>
    </row>
    <row r="25" spans="1:18">
      <c r="A25" s="32" t="s">
        <v>19</v>
      </c>
      <c r="B25" s="36">
        <v>28100</v>
      </c>
      <c r="C25" s="36">
        <v>30760</v>
      </c>
      <c r="D25" s="36">
        <v>32310</v>
      </c>
      <c r="E25" s="36">
        <v>32630</v>
      </c>
      <c r="F25" s="36">
        <v>32900</v>
      </c>
      <c r="N25" s="17" t="s">
        <v>128</v>
      </c>
      <c r="O25" s="19">
        <f t="shared" si="0"/>
        <v>66460</v>
      </c>
      <c r="P25" s="83">
        <f t="shared" si="1"/>
        <v>0.2955752683826966</v>
      </c>
      <c r="Q25" s="19">
        <v>1.1000000000000001</v>
      </c>
      <c r="R25" s="89">
        <f t="shared" si="2"/>
        <v>0.32500000000000001</v>
      </c>
    </row>
    <row r="26" spans="1:18">
      <c r="A26" s="32" t="s">
        <v>43</v>
      </c>
      <c r="B26" s="33">
        <v>24630</v>
      </c>
      <c r="C26" s="33">
        <v>27030</v>
      </c>
      <c r="D26" s="33">
        <v>28730</v>
      </c>
      <c r="E26" s="33">
        <v>29200</v>
      </c>
      <c r="F26" s="33">
        <v>29820</v>
      </c>
      <c r="N26" s="17" t="s">
        <v>129</v>
      </c>
      <c r="O26" s="19">
        <f t="shared" si="0"/>
        <v>66460</v>
      </c>
      <c r="P26" s="83">
        <f t="shared" si="1"/>
        <v>0.2955752683826966</v>
      </c>
      <c r="Q26" s="19">
        <v>1</v>
      </c>
      <c r="R26" s="89">
        <f t="shared" si="2"/>
        <v>0.29599999999999999</v>
      </c>
    </row>
    <row r="27" spans="1:18">
      <c r="A27" s="32" t="s">
        <v>45</v>
      </c>
      <c r="B27" s="36">
        <v>15370</v>
      </c>
      <c r="C27" s="36">
        <v>16580</v>
      </c>
      <c r="D27" s="36">
        <v>16890</v>
      </c>
      <c r="E27" s="36">
        <v>16770</v>
      </c>
      <c r="F27" s="36">
        <v>16910</v>
      </c>
      <c r="J27" t="s">
        <v>95</v>
      </c>
      <c r="N27" s="17" t="s">
        <v>130</v>
      </c>
      <c r="O27" s="19">
        <f t="shared" si="0"/>
        <v>16470</v>
      </c>
      <c r="P27" s="83">
        <f t="shared" si="1"/>
        <v>-0.31029146939024133</v>
      </c>
      <c r="Q27" s="19">
        <v>1</v>
      </c>
      <c r="R27" s="89">
        <f t="shared" si="2"/>
        <v>-0.31</v>
      </c>
    </row>
    <row r="28" spans="1:18">
      <c r="A28" s="32" t="s">
        <v>33</v>
      </c>
      <c r="B28" s="33">
        <v>17890</v>
      </c>
      <c r="C28" s="33">
        <v>19040</v>
      </c>
      <c r="D28" s="33">
        <v>19350</v>
      </c>
      <c r="E28" s="33">
        <v>19220</v>
      </c>
      <c r="F28" s="33">
        <v>19690</v>
      </c>
      <c r="J28" t="s">
        <v>84</v>
      </c>
      <c r="N28" s="17" t="s">
        <v>131</v>
      </c>
      <c r="O28" s="19">
        <f t="shared" si="0"/>
        <v>48310</v>
      </c>
      <c r="P28" s="83">
        <f t="shared" si="1"/>
        <v>0.15705196892652412</v>
      </c>
      <c r="Q28" s="19">
        <v>1.1499999999999999</v>
      </c>
      <c r="R28" s="89">
        <f t="shared" si="2"/>
        <v>0.18099999999999999</v>
      </c>
    </row>
    <row r="29" spans="1:18">
      <c r="A29" s="32" t="s">
        <v>42</v>
      </c>
      <c r="B29" s="36">
        <v>102190</v>
      </c>
      <c r="C29" s="36">
        <v>107570</v>
      </c>
      <c r="D29" s="36">
        <v>104100</v>
      </c>
      <c r="E29" s="36">
        <v>102250</v>
      </c>
      <c r="F29" s="36">
        <v>101000</v>
      </c>
      <c r="J29" t="s">
        <v>220</v>
      </c>
      <c r="N29" s="17" t="s">
        <v>132</v>
      </c>
      <c r="O29" s="19">
        <f t="shared" si="0"/>
        <v>48310</v>
      </c>
      <c r="P29" s="83">
        <f t="shared" si="1"/>
        <v>0.15705196892652412</v>
      </c>
      <c r="Q29" s="19">
        <v>1.1000000000000001</v>
      </c>
      <c r="R29" s="89">
        <f t="shared" si="2"/>
        <v>0.17299999999999999</v>
      </c>
    </row>
    <row r="30" spans="1:18">
      <c r="A30" s="32" t="s">
        <v>40</v>
      </c>
      <c r="B30" s="33">
        <v>14370</v>
      </c>
      <c r="C30" s="33">
        <v>15470</v>
      </c>
      <c r="D30" s="33">
        <v>16160</v>
      </c>
      <c r="E30" s="33">
        <v>16050</v>
      </c>
      <c r="F30" s="33">
        <v>16190</v>
      </c>
      <c r="N30" s="17" t="s">
        <v>133</v>
      </c>
      <c r="O30" s="19">
        <f t="shared" si="0"/>
        <v>48310</v>
      </c>
      <c r="P30" s="83">
        <f t="shared" si="1"/>
        <v>0.15705196892652412</v>
      </c>
      <c r="Q30" s="19">
        <v>1.05</v>
      </c>
      <c r="R30" s="89">
        <f t="shared" si="2"/>
        <v>0.16500000000000001</v>
      </c>
    </row>
    <row r="31" spans="1:18">
      <c r="A31" s="32" t="s">
        <v>54</v>
      </c>
      <c r="B31" s="36">
        <v>27870</v>
      </c>
      <c r="C31" s="36">
        <v>31420</v>
      </c>
      <c r="D31" s="36">
        <v>31390</v>
      </c>
      <c r="E31" s="36">
        <v>33380</v>
      </c>
      <c r="F31" s="36">
        <v>34480</v>
      </c>
      <c r="N31" s="17" t="s">
        <v>134</v>
      </c>
      <c r="O31" s="19">
        <f t="shared" si="0"/>
        <v>48310</v>
      </c>
      <c r="P31" s="83">
        <f t="shared" si="1"/>
        <v>0.15705196892652412</v>
      </c>
      <c r="Q31" s="19">
        <v>1</v>
      </c>
      <c r="R31" s="89">
        <f t="shared" si="2"/>
        <v>0.157</v>
      </c>
    </row>
    <row r="32" spans="1:18">
      <c r="A32" s="32" t="s">
        <v>20</v>
      </c>
      <c r="B32" s="33">
        <v>46810</v>
      </c>
      <c r="C32" s="33">
        <v>49490</v>
      </c>
      <c r="D32" s="33">
        <v>51480</v>
      </c>
      <c r="E32" s="33">
        <v>50660</v>
      </c>
      <c r="F32" s="33">
        <v>50880</v>
      </c>
      <c r="J32" t="s">
        <v>71</v>
      </c>
      <c r="N32" s="17" t="s">
        <v>135</v>
      </c>
      <c r="O32" s="19">
        <f t="shared" si="0"/>
        <v>49193</v>
      </c>
      <c r="P32" s="83">
        <f t="shared" si="1"/>
        <v>0.16491823994601576</v>
      </c>
      <c r="Q32" s="19">
        <v>1</v>
      </c>
      <c r="R32" s="89">
        <f t="shared" si="2"/>
        <v>0.16500000000000001</v>
      </c>
    </row>
    <row r="33" spans="1:15">
      <c r="A33" s="32" t="s">
        <v>29</v>
      </c>
      <c r="B33" s="36">
        <v>42650</v>
      </c>
      <c r="C33" s="36">
        <v>44580</v>
      </c>
      <c r="D33" s="36">
        <v>46430</v>
      </c>
      <c r="E33" s="36">
        <v>45670</v>
      </c>
      <c r="F33" s="36">
        <v>45140</v>
      </c>
      <c r="J33" t="s">
        <v>80</v>
      </c>
    </row>
    <row r="34" spans="1:15">
      <c r="A34" s="32" t="s">
        <v>21</v>
      </c>
      <c r="B34" s="33">
        <v>14310</v>
      </c>
      <c r="C34" s="33">
        <v>15380</v>
      </c>
      <c r="D34" s="33">
        <v>15840</v>
      </c>
      <c r="E34" s="33">
        <v>15950</v>
      </c>
      <c r="F34" s="33">
        <v>16470</v>
      </c>
      <c r="J34" t="s">
        <v>72</v>
      </c>
      <c r="N34" s="17" t="s">
        <v>355</v>
      </c>
      <c r="O34" s="48">
        <f>F11</f>
        <v>33650</v>
      </c>
    </row>
    <row r="35" spans="1:15">
      <c r="A35" s="32" t="s">
        <v>24</v>
      </c>
      <c r="B35" s="36">
        <v>19360</v>
      </c>
      <c r="C35" s="36">
        <v>20390</v>
      </c>
      <c r="D35" s="36">
        <v>21690</v>
      </c>
      <c r="E35" s="36">
        <v>22130</v>
      </c>
      <c r="F35" s="36">
        <v>22370</v>
      </c>
    </row>
    <row r="36" spans="1:15">
      <c r="A36" s="32" t="s">
        <v>30</v>
      </c>
      <c r="B36" s="33">
        <v>11390</v>
      </c>
      <c r="C36" s="33">
        <v>12130</v>
      </c>
      <c r="D36" s="33">
        <v>12690</v>
      </c>
      <c r="E36" s="33">
        <v>12970</v>
      </c>
      <c r="F36" s="33">
        <v>13090</v>
      </c>
    </row>
    <row r="37" spans="1:15">
      <c r="A37" s="32" t="s">
        <v>53</v>
      </c>
      <c r="B37" s="36">
        <v>22230</v>
      </c>
      <c r="C37" s="36">
        <v>24040</v>
      </c>
      <c r="D37" s="36">
        <v>24660</v>
      </c>
      <c r="E37" s="36">
        <v>25120</v>
      </c>
      <c r="F37" s="36">
        <v>25480</v>
      </c>
    </row>
    <row r="38" spans="1:15">
      <c r="A38" s="32" t="s">
        <v>50</v>
      </c>
      <c r="B38" s="33">
        <v>17270</v>
      </c>
      <c r="C38" s="33">
        <v>18320</v>
      </c>
      <c r="D38" s="33">
        <v>18360</v>
      </c>
      <c r="E38" s="33">
        <v>18750</v>
      </c>
      <c r="F38" s="33">
        <v>19110</v>
      </c>
    </row>
    <row r="39" spans="1:15">
      <c r="A39" s="32" t="s">
        <v>22</v>
      </c>
      <c r="B39" s="36">
        <v>42740</v>
      </c>
      <c r="C39" s="36">
        <v>43800</v>
      </c>
      <c r="D39" s="36">
        <v>44010</v>
      </c>
      <c r="E39" s="36">
        <v>43280</v>
      </c>
      <c r="F39" s="36">
        <v>43110</v>
      </c>
      <c r="J39" t="s">
        <v>73</v>
      </c>
    </row>
    <row r="40" spans="1:15">
      <c r="A40" s="32" t="s">
        <v>17</v>
      </c>
      <c r="B40" s="33">
        <v>46180</v>
      </c>
      <c r="C40" s="33">
        <v>48300</v>
      </c>
      <c r="D40" s="33">
        <v>48390</v>
      </c>
      <c r="E40" s="33">
        <v>47960</v>
      </c>
      <c r="F40" s="33">
        <v>48310</v>
      </c>
      <c r="J40" t="s">
        <v>68</v>
      </c>
    </row>
    <row r="41" spans="1:15">
      <c r="A41" s="32" t="s">
        <v>52</v>
      </c>
      <c r="B41" s="36">
        <v>54190</v>
      </c>
      <c r="C41" s="36">
        <v>56150</v>
      </c>
      <c r="D41" s="36">
        <v>59720</v>
      </c>
      <c r="E41" s="36">
        <v>61170</v>
      </c>
      <c r="F41" s="36">
        <v>59270</v>
      </c>
    </row>
    <row r="42" spans="1:15">
      <c r="A42" s="32" t="s">
        <v>27</v>
      </c>
      <c r="B42" s="33">
        <v>62400</v>
      </c>
      <c r="C42" s="33">
        <v>64640</v>
      </c>
      <c r="D42" s="33">
        <v>66670</v>
      </c>
      <c r="E42" s="33">
        <v>66140</v>
      </c>
      <c r="F42" s="33">
        <v>66460</v>
      </c>
      <c r="J42" t="s">
        <v>78</v>
      </c>
    </row>
    <row r="43" spans="1:15">
      <c r="A43" s="32" t="s">
        <v>47</v>
      </c>
      <c r="B43" s="36">
        <v>76710</v>
      </c>
      <c r="C43" s="36">
        <v>80850</v>
      </c>
      <c r="D43" s="36">
        <v>83000</v>
      </c>
      <c r="E43" s="36">
        <v>82440</v>
      </c>
      <c r="F43" s="36">
        <v>82650</v>
      </c>
    </row>
    <row r="44" spans="1:15">
      <c r="A44" s="32" t="s">
        <v>179</v>
      </c>
      <c r="B44" s="33">
        <v>4710</v>
      </c>
      <c r="C44" s="33">
        <v>5190</v>
      </c>
      <c r="D44" s="33">
        <v>5500</v>
      </c>
      <c r="E44" s="33" t="s">
        <v>174</v>
      </c>
      <c r="F44" s="33" t="s">
        <v>174</v>
      </c>
    </row>
    <row r="45" spans="1:15">
      <c r="A45" s="32" t="s">
        <v>41</v>
      </c>
      <c r="B45" s="36">
        <v>10</v>
      </c>
      <c r="C45" s="36">
        <v>10</v>
      </c>
      <c r="D45" s="36">
        <v>10</v>
      </c>
      <c r="E45" s="36">
        <v>10</v>
      </c>
      <c r="F45" s="36">
        <v>10</v>
      </c>
    </row>
    <row r="46" spans="1:15">
      <c r="A46" s="32" t="s">
        <v>336</v>
      </c>
      <c r="B46" s="33">
        <v>33840</v>
      </c>
      <c r="C46" s="33">
        <v>35990</v>
      </c>
      <c r="D46" s="33">
        <v>37110</v>
      </c>
      <c r="E46" s="33">
        <v>37040</v>
      </c>
      <c r="F46" s="33">
        <v>37210</v>
      </c>
    </row>
    <row r="47" spans="1:15">
      <c r="A47" s="32" t="s">
        <v>46</v>
      </c>
      <c r="B47" s="36">
        <v>6610</v>
      </c>
      <c r="C47" s="36">
        <v>7500</v>
      </c>
      <c r="D47" s="36">
        <v>8100</v>
      </c>
      <c r="E47" s="36">
        <v>8620</v>
      </c>
      <c r="F47" s="36">
        <v>8890</v>
      </c>
    </row>
    <row r="48" spans="1:15">
      <c r="A48" s="32" t="s">
        <v>48</v>
      </c>
      <c r="B48" s="34">
        <v>5840</v>
      </c>
      <c r="C48" s="34">
        <v>6170</v>
      </c>
      <c r="D48" s="34">
        <v>6360</v>
      </c>
      <c r="E48" s="34">
        <v>6540</v>
      </c>
      <c r="F48" s="34">
        <v>6750</v>
      </c>
    </row>
    <row r="49" spans="1:6">
      <c r="A49" s="32" t="s">
        <v>38</v>
      </c>
      <c r="B49" s="36">
        <v>7110</v>
      </c>
      <c r="C49" s="36">
        <v>7740</v>
      </c>
      <c r="D49" s="36">
        <v>8160</v>
      </c>
      <c r="E49" s="36">
        <v>8510</v>
      </c>
      <c r="F49" s="36">
        <v>8900</v>
      </c>
    </row>
    <row r="50" spans="1:6">
      <c r="A50" s="32" t="s">
        <v>180</v>
      </c>
      <c r="B50" s="33">
        <v>7340</v>
      </c>
      <c r="C50" s="33">
        <v>8130</v>
      </c>
      <c r="D50" s="33">
        <v>8490</v>
      </c>
      <c r="E50" s="33">
        <v>8920</v>
      </c>
      <c r="F50" s="33">
        <v>9220</v>
      </c>
    </row>
    <row r="51" spans="1:6">
      <c r="A51" s="32" t="s">
        <v>58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</row>
    <row r="53" spans="1:6">
      <c r="A53" s="28" t="s">
        <v>182</v>
      </c>
    </row>
    <row r="54" spans="1:6">
      <c r="A54" s="28" t="s">
        <v>174</v>
      </c>
    </row>
    <row r="55" spans="1:6">
      <c r="A55" s="28" t="s">
        <v>337</v>
      </c>
    </row>
    <row r="56" spans="1:6">
      <c r="A56" s="28" t="s">
        <v>338</v>
      </c>
    </row>
    <row r="57" spans="1:6">
      <c r="A57" s="28" t="s">
        <v>339</v>
      </c>
    </row>
    <row r="58" spans="1:6">
      <c r="A58" s="28" t="s">
        <v>340</v>
      </c>
    </row>
    <row r="62" spans="1:6">
      <c r="A62" t="s">
        <v>342</v>
      </c>
      <c r="B62" t="s">
        <v>343</v>
      </c>
    </row>
    <row r="63" spans="1:6">
      <c r="A63" t="s">
        <v>344</v>
      </c>
      <c r="B63" s="88">
        <v>46077</v>
      </c>
    </row>
    <row r="65" spans="1:10">
      <c r="A65" t="s">
        <v>346</v>
      </c>
      <c r="B65" t="s">
        <v>347</v>
      </c>
    </row>
    <row r="66" spans="1:10">
      <c r="A66" t="s">
        <v>350</v>
      </c>
      <c r="B66" t="s">
        <v>351</v>
      </c>
    </row>
    <row r="69" spans="1:10">
      <c r="A69" t="s">
        <v>345</v>
      </c>
      <c r="B69" t="s">
        <v>168</v>
      </c>
      <c r="C69" t="s">
        <v>169</v>
      </c>
      <c r="D69" t="s">
        <v>170</v>
      </c>
      <c r="E69" t="s">
        <v>171</v>
      </c>
      <c r="F69" t="s">
        <v>332</v>
      </c>
    </row>
    <row r="70" spans="1:10">
      <c r="A70" t="s">
        <v>58</v>
      </c>
      <c r="B70">
        <v>40812.679466387854</v>
      </c>
      <c r="C70">
        <v>47691.376879940392</v>
      </c>
      <c r="D70">
        <v>47057.043229178962</v>
      </c>
      <c r="E70">
        <v>49944.470212420143</v>
      </c>
      <c r="F70">
        <v>53246.367614510847</v>
      </c>
    </row>
    <row r="71" spans="1:10">
      <c r="A71" t="s">
        <v>47</v>
      </c>
      <c r="B71">
        <v>85897.7843338323</v>
      </c>
      <c r="C71">
        <v>93664.773669611081</v>
      </c>
      <c r="D71">
        <v>94394.510680352454</v>
      </c>
      <c r="E71">
        <v>100623.54962729648</v>
      </c>
      <c r="F71">
        <v>103998.18668560409</v>
      </c>
    </row>
    <row r="73" spans="1:10">
      <c r="A73" t="s">
        <v>352</v>
      </c>
      <c r="B73">
        <v>1.1422000000000001</v>
      </c>
      <c r="C73">
        <v>1.1827000000000001</v>
      </c>
      <c r="D73">
        <v>1.0529999999999999</v>
      </c>
      <c r="E73">
        <v>1.0812999999999999</v>
      </c>
      <c r="F73">
        <v>1.0824</v>
      </c>
      <c r="H73" t="s">
        <v>353</v>
      </c>
    </row>
    <row r="75" spans="1:10">
      <c r="A75" t="s">
        <v>348</v>
      </c>
      <c r="B75">
        <f>ROUND(B70/B$73,0)</f>
        <v>35732</v>
      </c>
      <c r="C75">
        <f t="shared" ref="C75:F75" si="3">ROUND(C70/C$73,0)</f>
        <v>40324</v>
      </c>
      <c r="D75">
        <f t="shared" si="3"/>
        <v>44689</v>
      </c>
      <c r="E75">
        <f t="shared" si="3"/>
        <v>46189</v>
      </c>
      <c r="F75">
        <f t="shared" si="3"/>
        <v>49193</v>
      </c>
      <c r="J75" t="s">
        <v>14</v>
      </c>
    </row>
    <row r="76" spans="1:10">
      <c r="A76" t="s">
        <v>354</v>
      </c>
      <c r="B76">
        <f t="shared" ref="B76:F76" si="4">ROUND(B71/B$73,0)</f>
        <v>75204</v>
      </c>
      <c r="C76">
        <f t="shared" si="4"/>
        <v>79196</v>
      </c>
      <c r="D76">
        <f t="shared" si="4"/>
        <v>89643</v>
      </c>
      <c r="E76">
        <f t="shared" si="4"/>
        <v>93058</v>
      </c>
      <c r="F76">
        <f t="shared" si="4"/>
        <v>96081</v>
      </c>
      <c r="J76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workbookViewId="0">
      <selection activeCell="G28" sqref="G28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I53" sqref="I53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92" t="s">
        <v>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94" t="s">
        <v>12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6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11" activePane="bottomRight" state="frozen"/>
      <selection pane="topRight" activeCell="F1" sqref="F1"/>
      <selection pane="bottomLeft" activeCell="A3" sqref="A3"/>
      <selection pane="bottomRight" activeCell="F5" sqref="F5:AH45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wind!$C:$C, 0)</f>
        <v>7</v>
      </c>
      <c r="D5" s="20">
        <f>IFERROR(MATCH($E5, offshore!$D:$D, 0), 1)</f>
        <v>6</v>
      </c>
      <c r="E5" s="17" t="s">
        <v>64</v>
      </c>
      <c r="F5" s="48">
        <f ca="1">SUMIFS(  INDIRECT(CONCATENATE("'wind'!", $C5, ":", $C5)),   wind!$6:$6, F$4) - SUMIFS(   INDIRECT(CONCATENATE("offshore!",$D5,":", $D5)), offshore!$4:$4, F$4)</f>
        <v>2875</v>
      </c>
      <c r="G5" s="48">
        <f ca="1">SUMIFS(  INDIRECT(CONCATENATE("'wind'!", $C5, ":", $C5)),   wind!$6:$6, G$4) - SUMIFS(   INDIRECT(CONCATENATE("offshore!",$D5,":", $D5)), offshore!$4:$4, G$4)</f>
        <v>4442</v>
      </c>
      <c r="H5" s="48">
        <f ca="1">SUMIFS(  INDIRECT(CONCATENATE("'wind'!", $C5, ":", $C5)),   wind!$6:$6, H$4) - SUMIFS(   INDIRECT(CONCATENATE("offshore!",$D5,":", $D5)), offshore!$4:$4, H$4)</f>
        <v>6113</v>
      </c>
      <c r="I5" s="48">
        <f ca="1">SUMIFS(  INDIRECT(CONCATENATE("'wind'!", $C5, ":", $C5)),   wind!$6:$6, I$4) - SUMIFS(   INDIRECT(CONCATENATE("offshore!",$D5,":", $D5)), offshore!$4:$4, I$4)</f>
        <v>8754</v>
      </c>
      <c r="J5" s="48">
        <f ca="1">SUMIFS(  INDIRECT(CONCATENATE("'wind'!", $C5, ":", $C5)),   wind!$6:$6, J$4) - SUMIFS(   INDIRECT(CONCATENATE("offshore!",$D5,":", $D5)), offshore!$4:$4, J$4)</f>
        <v>11994</v>
      </c>
      <c r="K5" s="48">
        <f ca="1">SUMIFS(  INDIRECT(CONCATENATE("'wind'!", $C5, ":", $C5)),   wind!$6:$6, K$4) - SUMIFS(   INDIRECT(CONCATENATE("offshore!",$D5,":", $D5)), offshore!$4:$4, K$4)</f>
        <v>14609</v>
      </c>
      <c r="L5" s="48">
        <f ca="1">SUMIFS(  INDIRECT(CONCATENATE("'wind'!", $C5, ":", $C5)),   wind!$6:$6, L$4) - SUMIFS(   INDIRECT(CONCATENATE("offshore!",$D5,":", $D5)), offshore!$4:$4, L$4)</f>
        <v>16629</v>
      </c>
      <c r="M5" s="48">
        <f ca="1">SUMIFS(  INDIRECT(CONCATENATE("'wind'!", $C5, ":", $C5)),   wind!$6:$6, M$4) - SUMIFS(   INDIRECT(CONCATENATE("offshore!",$D5,":", $D5)), offshore!$4:$4, M$4)</f>
        <v>18415</v>
      </c>
      <c r="N5" s="48">
        <f ca="1">SUMIFS(  INDIRECT(CONCATENATE("'wind'!", $C5, ":", $C5)),   wind!$6:$6, N$4) - SUMIFS(   INDIRECT(CONCATENATE("offshore!",$D5,":", $D5)), offshore!$4:$4, N$4)</f>
        <v>20622</v>
      </c>
      <c r="O5" s="48">
        <f ca="1">SUMIFS(  INDIRECT(CONCATENATE("'wind'!", $C5, ":", $C5)),   wind!$6:$6, O$4) - SUMIFS(   INDIRECT(CONCATENATE("offshore!",$D5,":", $D5)), offshore!$4:$4, O$4)</f>
        <v>22247</v>
      </c>
      <c r="P5" s="48">
        <f ca="1">SUMIFS(  INDIRECT(CONCATENATE("'wind'!", $C5, ":", $C5)),   wind!$6:$6, P$4) - SUMIFS(   INDIRECT(CONCATENATE("offshore!",$D5,":", $D5)), offshore!$4:$4, P$4)</f>
        <v>23885</v>
      </c>
      <c r="Q5" s="48">
        <f ca="1">SUMIFS(  INDIRECT(CONCATENATE("'wind'!", $C5, ":", $C5)),   wind!$6:$6, Q$4) - SUMIFS(   INDIRECT(CONCATENATE("offshore!",$D5,":", $D5)), offshore!$4:$4, Q$4)</f>
        <v>25705</v>
      </c>
      <c r="R5" s="48">
        <f ca="1">SUMIFS(  INDIRECT(CONCATENATE("'wind'!", $C5, ":", $C5)),   wind!$6:$6, R$4) - SUMIFS(   INDIRECT(CONCATENATE("offshore!",$D5,":", $D5)), offshore!$4:$4, R$4)</f>
        <v>26994.7</v>
      </c>
      <c r="S5" s="48">
        <f ca="1">SUMIFS(  INDIRECT(CONCATENATE("'wind'!", $C5, ":", $C5)),   wind!$6:$6, S$4) - SUMIFS(   INDIRECT(CONCATENATE("offshore!",$D5,":", $D5)), offshore!$4:$4, S$4)</f>
        <v>28554.7</v>
      </c>
      <c r="T5" s="48">
        <f ca="1">SUMIFS(  INDIRECT(CONCATENATE("'wind'!", $C5, ":", $C5)),   wind!$6:$6, T$4) - SUMIFS(   INDIRECT(CONCATENATE("offshore!",$D5,":", $D5)), offshore!$4:$4, T$4)</f>
        <v>30395</v>
      </c>
      <c r="U5" s="48">
        <f ca="1">SUMIFS(  INDIRECT(CONCATENATE("'wind'!", $C5, ":", $C5)),   wind!$6:$6, U$4) - SUMIFS(   INDIRECT(CONCATENATE("offshore!",$D5,":", $D5)), offshore!$4:$4, U$4)</f>
        <v>32577</v>
      </c>
      <c r="V5" s="48">
        <f ca="1">SUMIFS(  INDIRECT(CONCATENATE("'wind'!", $C5, ":", $C5)),   wind!$6:$6, V$4) - SUMIFS(   INDIRECT(CONCATENATE("offshore!",$D5,":", $D5)), offshore!$4:$4, V$4)</f>
        <v>37597.5</v>
      </c>
      <c r="W5" s="48">
        <f ca="1">SUMIFS(  INDIRECT(CONCATENATE("'wind'!", $C5, ":", $C5)),   wind!$6:$6, W$4) - SUMIFS(   INDIRECT(CONCATENATE("offshore!",$D5,":", $D5)), offshore!$4:$4, W$4)</f>
        <v>41285.1</v>
      </c>
      <c r="X5" s="48">
        <f ca="1">SUMIFS(  INDIRECT(CONCATENATE("'wind'!", $C5, ":", $C5)),   wind!$6:$6, X$4) - SUMIFS(   INDIRECT(CONCATENATE("offshore!",$D5,":", $D5)), offshore!$4:$4, X$4)</f>
        <v>45298</v>
      </c>
      <c r="Y5" s="48">
        <f ca="1">SUMIFS(  INDIRECT(CONCATENATE("'wind'!", $C5, ":", $C5)),   wind!$6:$6, Y$4) - SUMIFS(   INDIRECT(CONCATENATE("offshore!",$D5,":", $D5)), offshore!$4:$4, Y$4)</f>
        <v>50173</v>
      </c>
      <c r="Z5" s="48">
        <f ca="1">SUMIFS(  INDIRECT(CONCATENATE("'wind'!", $C5, ":", $C5)),   wind!$6:$6, Z$4) - SUMIFS(   INDIRECT(CONCATENATE("offshore!",$D5,":", $D5)), offshore!$4:$4, Z$4)</f>
        <v>52454</v>
      </c>
      <c r="AA5" s="48">
        <f ca="1">SUMIFS(  INDIRECT(CONCATENATE("'wind'!", $C5, ":", $C5)),   wind!$6:$6, AA$4) - SUMIFS(   INDIRECT(CONCATENATE("offshore!",$D5,":", $D5)), offshore!$4:$4, AA$4)</f>
        <v>53213</v>
      </c>
      <c r="AB5" s="48">
        <f ca="1">SUMIFS(  INDIRECT(CONCATENATE("'wind'!", $C5, ":", $C5)),   wind!$6:$6, AB$4) - SUMIFS(   INDIRECT(CONCATENATE("offshore!",$D5,":", $D5)), offshore!$4:$4, AB$4)</f>
        <v>54806</v>
      </c>
      <c r="AC5" s="48">
        <f ca="1">SUMIFS(  INDIRECT(CONCATENATE("'wind'!", $C5, ":", $C5)),   wind!$6:$6, AC$4) - SUMIFS(   INDIRECT(CONCATENATE("offshore!",$D5,":", $D5)), offshore!$4:$4, AC$4)</f>
        <v>56266</v>
      </c>
      <c r="AD5" s="48">
        <f ca="1">SUMIFS(  INDIRECT(CONCATENATE("'wind'!", $C5, ":", $C5)),   wind!$6:$6, AD$4) - SUMIFS(   INDIRECT(CONCATENATE("offshore!",$D5,":", $D5)), offshore!$4:$4, AD$4)</f>
        <v>58193</v>
      </c>
      <c r="AE5" s="48">
        <f ca="1">SUMIFS(  INDIRECT(CONCATENATE("'wind'!", $C5, ":", $C5)),   wind!$6:$6, AE$4) - SUMIFS(   INDIRECT(CONCATENATE("offshore!",$D5,":", $D5)), offshore!$4:$4, AE$4)</f>
        <v>61202</v>
      </c>
      <c r="AF5" s="48">
        <f ca="1">SUMIFS(  INDIRECT(CONCATENATE("'wind'!", $C5, ":", $C5)),   wind!$6:$6, AF$4) - SUMIFS(   INDIRECT(CONCATENATE("offshore!",$D5,":", $D5)), 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wind!$C:$C, 0)</f>
        <v>8</v>
      </c>
      <c r="D6" s="20">
        <f>IFERROR(MATCH($E6, offshore!$D:$D, 0), 1)</f>
        <v>5</v>
      </c>
      <c r="E6" s="17" t="s">
        <v>65</v>
      </c>
      <c r="F6" s="48">
        <f ca="1">SUMIFS(  INDIRECT(CONCATENATE("'wind'!", $C6, ":", $C6)),   wind!$6:$6, F$4) - SUMIFS(   INDIRECT(CONCATENATE("offshore!",$D6,":", $D6)), offshore!$4:$4, F$4)</f>
        <v>333</v>
      </c>
      <c r="G6" s="48">
        <f ca="1">SUMIFS(  INDIRECT(CONCATENATE("'wind'!", $C6, ":", $C6)),   wind!$6:$6, G$4) - SUMIFS(   INDIRECT(CONCATENATE("offshore!",$D6,":", $D6)), offshore!$4:$4, G$4)</f>
        <v>362</v>
      </c>
      <c r="H6" s="48">
        <f ca="1">SUMIFS(  INDIRECT(CONCATENATE("'wind'!", $C6, ":", $C6)),   wind!$6:$6, H$4) - SUMIFS(   INDIRECT(CONCATENATE("offshore!",$D6,":", $D6)), offshore!$4:$4, H$4)</f>
        <v>406</v>
      </c>
      <c r="I6" s="48">
        <f ca="1">SUMIFS(  INDIRECT(CONCATENATE("'wind'!", $C6, ":", $C6)),   wind!$6:$6, I$4) - SUMIFS(   INDIRECT(CONCATENATE("offshore!",$D6,":", $D6)), offshore!$4:$4, I$4)</f>
        <v>474</v>
      </c>
      <c r="J6" s="48">
        <f ca="1">SUMIFS(  INDIRECT(CONCATENATE("'wind'!", $C6, ":", $C6)),   wind!$6:$6, J$4) - SUMIFS(   INDIRECT(CONCATENATE("offshore!",$D6,":", $D6)), offshore!$4:$4, J$4)</f>
        <v>552</v>
      </c>
      <c r="K6" s="48">
        <f ca="1">SUMIFS(  INDIRECT(CONCATENATE("'wind'!", $C6, ":", $C6)),   wind!$6:$6, K$4) - SUMIFS(   INDIRECT(CONCATENATE("offshore!",$D6,":", $D6)), offshore!$4:$4, K$4)</f>
        <v>667</v>
      </c>
      <c r="L6" s="48">
        <f ca="1">SUMIFS(  INDIRECT(CONCATENATE("'wind'!", $C6, ":", $C6)),   wind!$6:$6, L$4) - SUMIFS(   INDIRECT(CONCATENATE("offshore!",$D6,":", $D6)), offshore!$4:$4, L$4)</f>
        <v>904</v>
      </c>
      <c r="M6" s="48">
        <f ca="1">SUMIFS(  INDIRECT(CONCATENATE("'wind'!", $C6, ":", $C6)),   wind!$6:$6, M$4) - SUMIFS(   INDIRECT(CONCATENATE("offshore!",$D6,":", $D6)), offshore!$4:$4, M$4)</f>
        <v>1332</v>
      </c>
      <c r="N6" s="48">
        <f ca="1">SUMIFS(  INDIRECT(CONCATENATE("'wind'!", $C6, ":", $C6)),   wind!$6:$6, N$4) - SUMIFS(   INDIRECT(CONCATENATE("offshore!",$D6,":", $D6)), offshore!$4:$4, N$4)</f>
        <v>1962</v>
      </c>
      <c r="O6" s="48">
        <f ca="1">SUMIFS(  INDIRECT(CONCATENATE("'wind'!", $C6, ":", $C6)),   wind!$6:$6, O$4) - SUMIFS(   INDIRECT(CONCATENATE("offshore!",$D6,":", $D6)), offshore!$4:$4, O$4)</f>
        <v>2406</v>
      </c>
      <c r="P6" s="48">
        <f ca="1">SUMIFS(  INDIRECT(CONCATENATE("'wind'!", $C6, ":", $C6)),   wind!$6:$6, P$4) - SUMIFS(   INDIRECT(CONCATENATE("offshore!",$D6,":", $D6)), offshore!$4:$4, P$4)</f>
        <v>2388</v>
      </c>
      <c r="Q6" s="48">
        <f ca="1">SUMIFS(  INDIRECT(CONCATENATE("'wind'!", $C6, ":", $C6)),   wind!$6:$6, Q$4) - SUMIFS(   INDIRECT(CONCATENATE("offshore!",$D6,":", $D6)), offshore!$4:$4, Q$4)</f>
        <v>3362.8</v>
      </c>
      <c r="R6" s="48">
        <f ca="1">SUMIFS(  INDIRECT(CONCATENATE("'wind'!", $C6, ":", $C6)),   wind!$6:$6, R$4) - SUMIFS(   INDIRECT(CONCATENATE("offshore!",$D6,":", $D6)), offshore!$4:$4, R$4)</f>
        <v>3862.8</v>
      </c>
      <c r="S6" s="48">
        <f ca="1">SUMIFS(  INDIRECT(CONCATENATE("'wind'!", $C6, ":", $C6)),   wind!$6:$6, S$4) - SUMIFS(   INDIRECT(CONCATENATE("offshore!",$D6,":", $D6)), offshore!$4:$4, S$4)</f>
        <v>4446.3</v>
      </c>
      <c r="T6" s="48">
        <f ca="1">SUMIFS(  INDIRECT(CONCATENATE("'wind'!", $C6, ":", $C6)),   wind!$6:$6, T$4) - SUMIFS(   INDIRECT(CONCATENATE("offshore!",$D6,":", $D6)), offshore!$4:$4, T$4)</f>
        <v>5450</v>
      </c>
      <c r="U6" s="48">
        <f ca="1">SUMIFS(  INDIRECT(CONCATENATE("'wind'!", $C6, ":", $C6)),   wind!$6:$6, U$4) - SUMIFS(   INDIRECT(CONCATENATE("offshore!",$D6,":", $D6)), offshore!$4:$4, U$4)</f>
        <v>6874</v>
      </c>
      <c r="V6" s="48">
        <f ca="1">SUMIFS(  INDIRECT(CONCATENATE("'wind'!", $C6, ":", $C6)),   wind!$6:$6, V$4) - SUMIFS(   INDIRECT(CONCATENATE("offshore!",$D6,":", $D6)), offshore!$4:$4, V$4)</f>
        <v>7938.7</v>
      </c>
      <c r="W6" s="48">
        <f ca="1">SUMIFS(  INDIRECT(CONCATENATE("'wind'!", $C6, ":", $C6)),   wind!$6:$6, W$4) - SUMIFS(   INDIRECT(CONCATENATE("offshore!",$D6,":", $D6)), offshore!$4:$4, W$4)</f>
        <v>9186.5</v>
      </c>
      <c r="X6" s="48">
        <f ca="1">SUMIFS(  INDIRECT(CONCATENATE("'wind'!", $C6, ":", $C6)),   wind!$6:$6, X$4) - SUMIFS(   INDIRECT(CONCATENATE("offshore!",$D6,":", $D6)), offshore!$4:$4, X$4)</f>
        <v>9737</v>
      </c>
      <c r="Y6" s="48">
        <f ca="1">SUMIFS(  INDIRECT(CONCATENATE("'wind'!", $C6, ":", $C6)),   wind!$6:$6, Y$4) - SUMIFS(   INDIRECT(CONCATENATE("offshore!",$D6,":", $D6)), offshore!$4:$4, Y$4)</f>
        <v>12511.5</v>
      </c>
      <c r="Z6" s="48">
        <f ca="1">SUMIFS(  INDIRECT(CONCATENATE("'wind'!", $C6, ":", $C6)),   wind!$6:$6, Z$4) - SUMIFS(   INDIRECT(CONCATENATE("offshore!",$D6,":", $D6)), offshore!$4:$4, Z$4)</f>
        <v>13542.5</v>
      </c>
      <c r="AA6" s="48">
        <f ca="1">SUMIFS(  INDIRECT(CONCATENATE("'wind'!", $C6, ":", $C6)),   wind!$6:$6, AA$4) - SUMIFS(   INDIRECT(CONCATENATE("offshore!",$D6,":", $D6)), offshore!$4:$4, AA$4)</f>
        <v>15499.5</v>
      </c>
      <c r="AB6" s="48">
        <f ca="1">SUMIFS(  INDIRECT(CONCATENATE("'wind'!", $C6, ":", $C6)),   wind!$6:$6, AB$4) - SUMIFS(   INDIRECT(CONCATENATE("offshore!",$D6,":", $D6)), offshore!$4:$4, AB$4)</f>
        <v>14219.5</v>
      </c>
      <c r="AC6" s="48">
        <f ca="1">SUMIFS(  INDIRECT(CONCATENATE("'wind'!", $C6, ":", $C6)),   wind!$6:$6, AC$4) - SUMIFS(   INDIRECT(CONCATENATE("offshore!",$D6,":", $D6)), offshore!$4:$4, AC$4)</f>
        <v>16816.5</v>
      </c>
      <c r="AD6" s="48">
        <f ca="1">SUMIFS(  INDIRECT(CONCATENATE("'wind'!", $C6, ":", $C6)),   wind!$6:$6, AD$4) - SUMIFS(   INDIRECT(CONCATENATE("offshore!",$D6,":", $D6)), offshore!$4:$4, AD$4)</f>
        <v>15306.5</v>
      </c>
      <c r="AE6" s="48">
        <f ca="1">SUMIFS(  INDIRECT(CONCATENATE("'wind'!", $C6, ":", $C6)),   wind!$6:$6, AE$4) - SUMIFS(   INDIRECT(CONCATENATE("offshore!",$D6,":", $D6)), offshore!$4:$4, AE$4)</f>
        <v>15295.5</v>
      </c>
      <c r="AF6" s="48">
        <f ca="1">SUMIFS(  INDIRECT(CONCATENATE("'wind'!", $C6, ":", $C6)),   wind!$6:$6, AF$4) - SUMIFS(   INDIRECT(CONCATENATE("offshore!",$D6,":", $D6)), 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wind!$C:$C, 0)</f>
        <v>9</v>
      </c>
      <c r="D7" s="20">
        <f>IFERROR(MATCH($E7, offshore!$D:$D, 0), 1)</f>
        <v>13</v>
      </c>
      <c r="E7" s="17" t="s">
        <v>66</v>
      </c>
      <c r="F7" s="48">
        <f ca="1">SUMIFS(  INDIRECT(CONCATENATE("'wind'!", $C7, ":", $C7)),   wind!$6:$6, F$4) - SUMIFS(   INDIRECT(CONCATENATE("offshore!",$D7,":", $D7)), offshore!$4:$4, F$4)</f>
        <v>834</v>
      </c>
      <c r="G7" s="48">
        <f ca="1">SUMIFS(  INDIRECT(CONCATENATE("'wind'!", $C7, ":", $C7)),   wind!$6:$6, G$4) - SUMIFS(   INDIRECT(CONCATENATE("offshore!",$D7,":", $D7)), offshore!$4:$4, G$4)</f>
        <v>1812</v>
      </c>
      <c r="H7" s="48">
        <f ca="1">SUMIFS(  INDIRECT(CONCATENATE("'wind'!", $C7, ":", $C7)),   wind!$6:$6, H$4) - SUMIFS(   INDIRECT(CONCATENATE("offshore!",$D7,":", $D7)), offshore!$4:$4, H$4)</f>
        <v>2235</v>
      </c>
      <c r="I7" s="48">
        <f ca="1">SUMIFS(  INDIRECT(CONCATENATE("'wind'!", $C7, ":", $C7)),   wind!$6:$6, I$4) - SUMIFS(   INDIRECT(CONCATENATE("offshore!",$D7,":", $D7)), offshore!$4:$4, I$4)</f>
        <v>3337</v>
      </c>
      <c r="J7" s="48">
        <f ca="1">SUMIFS(  INDIRECT(CONCATENATE("'wind'!", $C7, ":", $C7)),   wind!$6:$6, J$4) - SUMIFS(   INDIRECT(CONCATENATE("offshore!",$D7,":", $D7)), offshore!$4:$4, J$4)</f>
        <v>4825</v>
      </c>
      <c r="K7" s="48">
        <f ca="1">SUMIFS(  INDIRECT(CONCATENATE("'wind'!", $C7, ":", $C7)),   wind!$6:$6, K$4) - SUMIFS(   INDIRECT(CONCATENATE("offshore!",$D7,":", $D7)), offshore!$4:$4, K$4)</f>
        <v>6203</v>
      </c>
      <c r="L7" s="48">
        <f ca="1">SUMIFS(  INDIRECT(CONCATENATE("'wind'!", $C7, ":", $C7)),   wind!$6:$6, L$4) - SUMIFS(   INDIRECT(CONCATENATE("offshore!",$D7,":", $D7)), offshore!$4:$4, L$4)</f>
        <v>8264</v>
      </c>
      <c r="M7" s="48">
        <f ca="1">SUMIFS(  INDIRECT(CONCATENATE("'wind'!", $C7, ":", $C7)),   wind!$6:$6, M$4) - SUMIFS(   INDIRECT(CONCATENATE("offshore!",$D7,":", $D7)), offshore!$4:$4, M$4)</f>
        <v>10028</v>
      </c>
      <c r="N7" s="48">
        <f ca="1">SUMIFS(  INDIRECT(CONCATENATE("'wind'!", $C7, ":", $C7)),   wind!$6:$6, N$4) - SUMIFS(   INDIRECT(CONCATENATE("offshore!",$D7,":", $D7)), offshore!$4:$4, N$4)</f>
        <v>11623</v>
      </c>
      <c r="O7" s="48">
        <f ca="1">SUMIFS(  INDIRECT(CONCATENATE("'wind'!", $C7, ":", $C7)),   wind!$6:$6, O$4) - SUMIFS(   INDIRECT(CONCATENATE("offshore!",$D7,":", $D7)), offshore!$4:$4, O$4)</f>
        <v>15131</v>
      </c>
      <c r="P7" s="48">
        <f ca="1">SUMIFS(  INDIRECT(CONCATENATE("'wind'!", $C7, ":", $C7)),   wind!$6:$6, P$4) - SUMIFS(   INDIRECT(CONCATENATE("offshore!",$D7,":", $D7)), offshore!$4:$4, P$4)</f>
        <v>16689</v>
      </c>
      <c r="Q7" s="48">
        <f ca="1">SUMIFS(  INDIRECT(CONCATENATE("'wind'!", $C7, ":", $C7)),   wind!$6:$6, Q$4) - SUMIFS(   INDIRECT(CONCATENATE("offshore!",$D7,":", $D7)), offshore!$4:$4, Q$4)</f>
        <v>19149</v>
      </c>
      <c r="R7" s="48">
        <f ca="1">SUMIFS(  INDIRECT(CONCATENATE("'wind'!", $C7, ":", $C7)),   wind!$6:$6, R$4) - SUMIFS(   INDIRECT(CONCATENATE("offshore!",$D7,":", $D7)), offshore!$4:$4, R$4)</f>
        <v>20676</v>
      </c>
      <c r="S7" s="48">
        <f ca="1">SUMIFS(  INDIRECT(CONCATENATE("'wind'!", $C7, ":", $C7)),   wind!$6:$6, S$4) - SUMIFS(   INDIRECT(CONCATENATE("offshore!",$D7,":", $D7)), offshore!$4:$4, S$4)</f>
        <v>21674</v>
      </c>
      <c r="T7" s="48">
        <f ca="1">SUMIFS(  INDIRECT(CONCATENATE("'wind'!", $C7, ":", $C7)),   wind!$6:$6, T$4) - SUMIFS(   INDIRECT(CONCATENATE("offshore!",$D7,":", $D7)), offshore!$4:$4, T$4)</f>
        <v>22796</v>
      </c>
      <c r="U7" s="48">
        <f ca="1">SUMIFS(  INDIRECT(CONCATENATE("'wind'!", $C7, ":", $C7)),   wind!$6:$6, U$4) - SUMIFS(   INDIRECT(CONCATENATE("offshore!",$D7,":", $D7)), offshore!$4:$4, U$4)</f>
        <v>22954</v>
      </c>
      <c r="V7" s="48">
        <f ca="1">SUMIFS(  INDIRECT(CONCATENATE("'wind'!", $C7, ":", $C7)),   wind!$6:$6, V$4) - SUMIFS(   INDIRECT(CONCATENATE("offshore!",$D7,":", $D7)), offshore!$4:$4, V$4)</f>
        <v>22981</v>
      </c>
      <c r="W7" s="48">
        <f ca="1">SUMIFS(  INDIRECT(CONCATENATE("'wind'!", $C7, ":", $C7)),   wind!$6:$6, W$4) - SUMIFS(   INDIRECT(CONCATENATE("offshore!",$D7,":", $D7)), offshore!$4:$4, W$4)</f>
        <v>22982</v>
      </c>
      <c r="X7" s="48">
        <f ca="1">SUMIFS(  INDIRECT(CONCATENATE("'wind'!", $C7, ":", $C7)),   wind!$6:$6, X$4) - SUMIFS(   INDIRECT(CONCATENATE("offshore!",$D7,":", $D7)), offshore!$4:$4, X$4)</f>
        <v>23021</v>
      </c>
      <c r="Y7" s="48">
        <f ca="1">SUMIFS(  INDIRECT(CONCATENATE("'wind'!", $C7, ":", $C7)),   wind!$6:$6, Y$4) - SUMIFS(   INDIRECT(CONCATENATE("offshore!",$D7,":", $D7)), offshore!$4:$4, Y$4)</f>
        <v>23165</v>
      </c>
      <c r="Z7" s="48">
        <f ca="1">SUMIFS(  INDIRECT(CONCATENATE("'wind'!", $C7, ":", $C7)),   wind!$6:$6, Z$4) - SUMIFS(   INDIRECT(CONCATENATE("offshore!",$D7,":", $D7)), offshore!$4:$4, Z$4)</f>
        <v>23489</v>
      </c>
      <c r="AA7" s="48">
        <f ca="1">SUMIFS(  INDIRECT(CONCATENATE("'wind'!", $C7, ":", $C7)),   wind!$6:$6, AA$4) - SUMIFS(   INDIRECT(CONCATENATE("offshore!",$D7,":", $D7)), offshore!$4:$4, AA$4)</f>
        <v>25803</v>
      </c>
      <c r="AB7" s="48">
        <f ca="1">SUMIFS(  INDIRECT(CONCATENATE("'wind'!", $C7, ":", $C7)),   wind!$6:$6, AB$4) - SUMIFS(   INDIRECT(CONCATENATE("offshore!",$D7,":", $D7)), offshore!$4:$4, AB$4)</f>
        <v>27264</v>
      </c>
      <c r="AC7" s="48">
        <f ca="1">SUMIFS(  INDIRECT(CONCATENATE("'wind'!", $C7, ":", $C7)),   wind!$6:$6, AC$4) - SUMIFS(   INDIRECT(CONCATENATE("offshore!",$D7,":", $D7)), offshore!$4:$4, AC$4)</f>
        <v>28196</v>
      </c>
      <c r="AD7" s="48">
        <f ca="1">SUMIFS(  INDIRECT(CONCATENATE("'wind'!", $C7, ":", $C7)),   wind!$6:$6, AD$4) - SUMIFS(   INDIRECT(CONCATENATE("offshore!",$D7,":", $D7)), offshore!$4:$4, AD$4)</f>
        <v>29798</v>
      </c>
      <c r="AE7" s="48">
        <f ca="1">SUMIFS(  INDIRECT(CONCATENATE("'wind'!", $C7, ":", $C7)),   wind!$6:$6, AE$4) - SUMIFS(   INDIRECT(CONCATENATE("offshore!",$D7,":", $D7)), offshore!$4:$4, AE$4)</f>
        <v>30564</v>
      </c>
      <c r="AF7" s="48">
        <f ca="1">SUMIFS(  INDIRECT(CONCATENATE("'wind'!", $C7, ":", $C7)),   wind!$6:$6, AF$4) - SUMIFS(   INDIRECT(CONCATENATE("offshore!",$D7,":", $D7)), 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wind!$C:$C, 0)</f>
        <v>10</v>
      </c>
      <c r="D8" s="20">
        <f>IFERROR(MATCH($E8, offshore!$D:$D, 0), 1)</f>
        <v>15</v>
      </c>
      <c r="E8" s="17" t="s">
        <v>67</v>
      </c>
      <c r="F8" s="48">
        <f ca="1">SUMIFS(  INDIRECT(CONCATENATE("'wind'!", $C8, ":", $C8)),   wind!$6:$6, F$4) - SUMIFS(   INDIRECT(CONCATENATE("offshore!",$D8,":", $D8)), offshore!$4:$4, F$4)</f>
        <v>19</v>
      </c>
      <c r="G8" s="48">
        <f ca="1">SUMIFS(  INDIRECT(CONCATENATE("'wind'!", $C8, ":", $C8)),   wind!$6:$6, G$4) - SUMIFS(   INDIRECT(CONCATENATE("offshore!",$D8,":", $D8)), offshore!$4:$4, G$4)</f>
        <v>25</v>
      </c>
      <c r="H8" s="48">
        <f ca="1">SUMIFS(  INDIRECT(CONCATENATE("'wind'!", $C8, ":", $C8)),   wind!$6:$6, H$4) - SUMIFS(   INDIRECT(CONCATENATE("offshore!",$D8,":", $D8)), offshore!$4:$4, H$4)</f>
        <v>66</v>
      </c>
      <c r="I8" s="48">
        <f ca="1">SUMIFS(  INDIRECT(CONCATENATE("'wind'!", $C8, ":", $C8)),   wind!$6:$6, I$4) - SUMIFS(   INDIRECT(CONCATENATE("offshore!",$D8,":", $D8)), offshore!$4:$4, I$4)</f>
        <v>93</v>
      </c>
      <c r="J8" s="48">
        <f ca="1">SUMIFS(  INDIRECT(CONCATENATE("'wind'!", $C8, ":", $C8)),   wind!$6:$6, J$4) - SUMIFS(   INDIRECT(CONCATENATE("offshore!",$D8,":", $D8)), offshore!$4:$4, J$4)</f>
        <v>148</v>
      </c>
      <c r="K8" s="48">
        <f ca="1">SUMIFS(  INDIRECT(CONCATENATE("'wind'!", $C8, ":", $C8)),   wind!$6:$6, K$4) - SUMIFS(   INDIRECT(CONCATENATE("offshore!",$D8,":", $D8)), offshore!$4:$4, K$4)</f>
        <v>257</v>
      </c>
      <c r="L8" s="48">
        <f ca="1">SUMIFS(  INDIRECT(CONCATENATE("'wind'!", $C8, ":", $C8)),   wind!$6:$6, L$4) - SUMIFS(   INDIRECT(CONCATENATE("offshore!",$D8,":", $D8)), offshore!$4:$4, L$4)</f>
        <v>390</v>
      </c>
      <c r="M8" s="48">
        <f ca="1">SUMIFS(  INDIRECT(CONCATENATE("'wind'!", $C8, ":", $C8)),   wind!$6:$6, M$4) - SUMIFS(   INDIRECT(CONCATENATE("offshore!",$D8,":", $D8)), offshore!$4:$4, M$4)</f>
        <v>757</v>
      </c>
      <c r="N8" s="48">
        <f ca="1">SUMIFS(  INDIRECT(CONCATENATE("'wind'!", $C8, ":", $C8)),   wind!$6:$6, N$4) - SUMIFS(   INDIRECT(CONCATENATE("offshore!",$D8,":", $D8)), offshore!$4:$4, N$4)</f>
        <v>1567</v>
      </c>
      <c r="O8" s="48">
        <f ca="1">SUMIFS(  INDIRECT(CONCATENATE("'wind'!", $C8, ":", $C8)),   wind!$6:$6, O$4) - SUMIFS(   INDIRECT(CONCATENATE("offshore!",$D8,":", $D8)), offshore!$4:$4, O$4)</f>
        <v>2454</v>
      </c>
      <c r="P8" s="48">
        <f ca="1">SUMIFS(  INDIRECT(CONCATENATE("'wind'!", $C8, ":", $C8)),   wind!$6:$6, P$4) - SUMIFS(   INDIRECT(CONCATENATE("offshore!",$D8,":", $D8)), offshore!$4:$4, P$4)</f>
        <v>3404</v>
      </c>
      <c r="Q8" s="48">
        <f ca="1">SUMIFS(  INDIRECT(CONCATENATE("'wind'!", $C8, ":", $C8)),   wind!$6:$6, Q$4) - SUMIFS(   INDIRECT(CONCATENATE("offshore!",$D8,":", $D8)), offshore!$4:$4, Q$4)</f>
        <v>4492</v>
      </c>
      <c r="R8" s="48">
        <f ca="1">SUMIFS(  INDIRECT(CONCATENATE("'wind'!", $C8, ":", $C8)),   wind!$6:$6, R$4) - SUMIFS(   INDIRECT(CONCATENATE("offshore!",$D8,":", $D8)), offshore!$4:$4, R$4)</f>
        <v>5660</v>
      </c>
      <c r="S8" s="48">
        <f ca="1">SUMIFS(  INDIRECT(CONCATENATE("'wind'!", $C8, ":", $C8)),   wind!$6:$6, S$4) - SUMIFS(   INDIRECT(CONCATENATE("offshore!",$D8,":", $D8)), offshore!$4:$4, S$4)</f>
        <v>6800</v>
      </c>
      <c r="T8" s="48">
        <f ca="1">SUMIFS(  INDIRECT(CONCATENATE("'wind'!", $C8, ":", $C8)),   wind!$6:$6, T$4) - SUMIFS(   INDIRECT(CONCATENATE("offshore!",$D8,":", $D8)), offshore!$4:$4, T$4)</f>
        <v>7196</v>
      </c>
      <c r="U8" s="48">
        <f ca="1">SUMIFS(  INDIRECT(CONCATENATE("'wind'!", $C8, ":", $C8)),   wind!$6:$6, U$4) - SUMIFS(   INDIRECT(CONCATENATE("offshore!",$D8,":", $D8)), offshore!$4:$4, U$4)</f>
        <v>8254</v>
      </c>
      <c r="V8" s="48">
        <f ca="1">SUMIFS(  INDIRECT(CONCATENATE("'wind'!", $C8, ":", $C8)),   wind!$6:$6, V$4) - SUMIFS(   INDIRECT(CONCATENATE("offshore!",$D8,":", $D8)), offshore!$4:$4, V$4)</f>
        <v>9285</v>
      </c>
      <c r="W8" s="48">
        <f ca="1">SUMIFS(  INDIRECT(CONCATENATE("'wind'!", $C8, ":", $C8)),   wind!$6:$6, W$4) - SUMIFS(   INDIRECT(CONCATENATE("offshore!",$D8,":", $D8)), offshore!$4:$4, W$4)</f>
        <v>10324</v>
      </c>
      <c r="X8" s="48">
        <f ca="1">SUMIFS(  INDIRECT(CONCATENATE("'wind'!", $C8, ":", $C8)),   wind!$6:$6, X$4) - SUMIFS(   INDIRECT(CONCATENATE("offshore!",$D8,":", $D8)), offshore!$4:$4, X$4)</f>
        <v>11670</v>
      </c>
      <c r="Y8" s="48">
        <f ca="1">SUMIFS(  INDIRECT(CONCATENATE("'wind'!", $C8, ":", $C8)),   wind!$6:$6, Y$4) - SUMIFS(   INDIRECT(CONCATENATE("offshore!",$D8,":", $D8)), offshore!$4:$4, Y$4)</f>
        <v>13759</v>
      </c>
      <c r="Z8" s="48">
        <f ca="1">SUMIFS(  INDIRECT(CONCATENATE("'wind'!", $C8, ":", $C8)),   wind!$6:$6, Z$4) - SUMIFS(   INDIRECT(CONCATENATE("offshore!",$D8,":", $D8)), offshore!$4:$4, Z$4)</f>
        <v>15309</v>
      </c>
      <c r="AA8" s="48">
        <f ca="1">SUMIFS(  INDIRECT(CONCATENATE("'wind'!", $C8, ":", $C8)),   wind!$6:$6, AA$4) - SUMIFS(   INDIRECT(CONCATENATE("offshore!",$D8,":", $D8)), offshore!$4:$4, AA$4)</f>
        <v>16646</v>
      </c>
      <c r="AB8" s="48">
        <f ca="1">SUMIFS(  INDIRECT(CONCATENATE("'wind'!", $C8, ":", $C8)),   wind!$6:$6, AB$4) - SUMIFS(   INDIRECT(CONCATENATE("offshore!",$D8,":", $D8)), offshore!$4:$4, AB$4)</f>
        <v>17949</v>
      </c>
      <c r="AC8" s="48">
        <f ca="1">SUMIFS(  INDIRECT(CONCATENATE("'wind'!", $C8, ":", $C8)),   wind!$6:$6, AC$4) - SUMIFS(   INDIRECT(CONCATENATE("offshore!",$D8,":", $D8)), offshore!$4:$4, AC$4)</f>
        <v>19081</v>
      </c>
      <c r="AD8" s="48">
        <f ca="1">SUMIFS(  INDIRECT(CONCATENATE("'wind'!", $C8, ":", $C8)),   wind!$6:$6, AD$4) - SUMIFS(   INDIRECT(CONCATENATE("offshore!",$D8,":", $D8)), offshore!$4:$4, AD$4)</f>
        <v>20655</v>
      </c>
      <c r="AE8" s="48">
        <f ca="1">SUMIFS(  INDIRECT(CONCATENATE("'wind'!", $C8, ":", $C8)),   wind!$6:$6, AE$4) - SUMIFS(   INDIRECT(CONCATENATE("offshore!",$D8,":", $D8)), offshore!$4:$4, AE$4)</f>
        <v>21309</v>
      </c>
      <c r="AF8" s="48">
        <f ca="1">SUMIFS(  INDIRECT(CONCATENATE("'wind'!", $C8, ":", $C8)),   wind!$6:$6, AF$4) - SUMIFS(   INDIRECT(CONCATENATE("offshore!",$D8,":", $D8)), 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wind!$C:$C, 0)</f>
        <v>11</v>
      </c>
      <c r="D9" s="20">
        <f>IFERROR(MATCH($E9, offshore!$D:$D, 0), 1)</f>
        <v>10</v>
      </c>
      <c r="E9" s="17" t="s">
        <v>68</v>
      </c>
      <c r="F9" s="48">
        <f ca="1">SUMIFS(  INDIRECT(CONCATENATE("'wind'!", $C9, ":", $C9)),   wind!$6:$6, F$4) - SUMIFS(   INDIRECT(CONCATENATE("offshore!",$D9,":", $D9)), offshore!$4:$4, F$4)</f>
        <v>174</v>
      </c>
      <c r="G9" s="48">
        <f ca="1">SUMIFS(  INDIRECT(CONCATENATE("'wind'!", $C9, ":", $C9)),   wind!$6:$6, G$4) - SUMIFS(   INDIRECT(CONCATENATE("offshore!",$D9,":", $D9)), offshore!$4:$4, G$4)</f>
        <v>220</v>
      </c>
      <c r="H9" s="48">
        <f ca="1">SUMIFS(  INDIRECT(CONCATENATE("'wind'!", $C9, ":", $C9)),   wind!$6:$6, H$4) - SUMIFS(   INDIRECT(CONCATENATE("offshore!",$D9,":", $D9)), offshore!$4:$4, H$4)</f>
        <v>231</v>
      </c>
      <c r="I9" s="48">
        <f ca="1">SUMIFS(  INDIRECT(CONCATENATE("'wind'!", $C9, ":", $C9)),   wind!$6:$6, I$4) - SUMIFS(   INDIRECT(CONCATENATE("offshore!",$D9,":", $D9)), offshore!$4:$4, I$4)</f>
        <v>293</v>
      </c>
      <c r="J9" s="48">
        <f ca="1">SUMIFS(  INDIRECT(CONCATENATE("'wind'!", $C9, ":", $C9)),   wind!$6:$6, J$4) - SUMIFS(   INDIRECT(CONCATENATE("offshore!",$D9,":", $D9)), offshore!$4:$4, J$4)</f>
        <v>345</v>
      </c>
      <c r="K9" s="48">
        <f ca="1">SUMIFS(  INDIRECT(CONCATENATE("'wind'!", $C9, ":", $C9)),   wind!$6:$6, K$4) - SUMIFS(   INDIRECT(CONCATENATE("offshore!",$D9,":", $D9)), offshore!$4:$4, K$4)</f>
        <v>399</v>
      </c>
      <c r="L9" s="48">
        <f ca="1">SUMIFS(  INDIRECT(CONCATENATE("'wind'!", $C9, ":", $C9)),   wind!$6:$6, L$4) - SUMIFS(   INDIRECT(CONCATENATE("offshore!",$D9,":", $D9)), offshore!$4:$4, L$4)</f>
        <v>442</v>
      </c>
      <c r="M9" s="48">
        <f ca="1">SUMIFS(  INDIRECT(CONCATENATE("'wind'!", $C9, ":", $C9)),   wind!$6:$6, M$4) - SUMIFS(   INDIRECT(CONCATENATE("offshore!",$D9,":", $D9)), offshore!$4:$4, M$4)</f>
        <v>509</v>
      </c>
      <c r="N9" s="48">
        <f ca="1">SUMIFS(  INDIRECT(CONCATENATE("'wind'!", $C9, ":", $C9)),   wind!$6:$6, N$4) - SUMIFS(   INDIRECT(CONCATENATE("offshore!",$D9,":", $D9)), offshore!$4:$4, N$4)</f>
        <v>571</v>
      </c>
      <c r="O9" s="48">
        <f ca="1">SUMIFS(  INDIRECT(CONCATENATE("'wind'!", $C9, ":", $C9)),   wind!$6:$6, O$4) - SUMIFS(   INDIRECT(CONCATENATE("offshore!",$D9,":", $D9)), offshore!$4:$4, O$4)</f>
        <v>788</v>
      </c>
      <c r="P9" s="48">
        <f ca="1">SUMIFS(  INDIRECT(CONCATENATE("'wind'!", $C9, ":", $C9)),   wind!$6:$6, P$4) - SUMIFS(   INDIRECT(CONCATENATE("offshore!",$D9,":", $D9)), offshore!$4:$4, P$4)</f>
        <v>914.3</v>
      </c>
      <c r="Q9" s="48">
        <f ca="1">SUMIFS(  INDIRECT(CONCATENATE("'wind'!", $C9, ":", $C9)),   wind!$6:$6, Q$4) - SUMIFS(   INDIRECT(CONCATENATE("offshore!",$D9,":", $D9)), offshore!$4:$4, Q$4)</f>
        <v>1396.3</v>
      </c>
      <c r="R9" s="48">
        <f ca="1">SUMIFS(  INDIRECT(CONCATENATE("'wind'!", $C9, ":", $C9)),   wind!$6:$6, R$4) - SUMIFS(   INDIRECT(CONCATENATE("offshore!",$D9,":", $D9)), offshore!$4:$4, R$4)</f>
        <v>1999.6</v>
      </c>
      <c r="S9" s="48">
        <f ca="1">SUMIFS(  INDIRECT(CONCATENATE("'wind'!", $C9, ":", $C9)),   wind!$6:$6, S$4) - SUMIFS(   INDIRECT(CONCATENATE("offshore!",$D9,":", $D9)), offshore!$4:$4, S$4)</f>
        <v>2743.6</v>
      </c>
      <c r="T9" s="48">
        <f ca="1">SUMIFS(  INDIRECT(CONCATENATE("'wind'!", $C9, ":", $C9)),   wind!$6:$6, T$4) - SUMIFS(   INDIRECT(CONCATENATE("offshore!",$D9,":", $D9)), offshore!$4:$4, T$4)</f>
        <v>3581.3</v>
      </c>
      <c r="U9" s="48">
        <f ca="1">SUMIFS(  INDIRECT(CONCATENATE("'wind'!", $C9, ":", $C9)),   wind!$6:$6, U$4) - SUMIFS(   INDIRECT(CONCATENATE("offshore!",$D9,":", $D9)), offshore!$4:$4, U$4)</f>
        <v>4258.3</v>
      </c>
      <c r="V9" s="48">
        <f ca="1">SUMIFS(  INDIRECT(CONCATENATE("'wind'!", $C9, ":", $C9)),   wind!$6:$6, V$4) - SUMIFS(   INDIRECT(CONCATENATE("offshore!",$D9,":", $D9)), offshore!$4:$4, V$4)</f>
        <v>5213.3</v>
      </c>
      <c r="W9" s="48">
        <f ca="1">SUMIFS(  INDIRECT(CONCATENATE("'wind'!", $C9, ":", $C9)),   wind!$6:$6, W$4) - SUMIFS(   INDIRECT(CONCATENATE("offshore!",$D9,":", $D9)), offshore!$4:$4, W$4)</f>
        <v>5827.3</v>
      </c>
      <c r="X9" s="48">
        <f ca="1">SUMIFS(  INDIRECT(CONCATENATE("'wind'!", $C9, ":", $C9)),   wind!$6:$6, X$4) - SUMIFS(   INDIRECT(CONCATENATE("offshore!",$D9,":", $D9)), offshore!$4:$4, X$4)</f>
        <v>6317.3</v>
      </c>
      <c r="Y9" s="48">
        <f ca="1">SUMIFS(  INDIRECT(CONCATENATE("'wind'!", $C9, ":", $C9)),   wind!$6:$6, Y$4) - SUMIFS(   INDIRECT(CONCATENATE("offshore!",$D9,":", $D9)), offshore!$4:$4, Y$4)</f>
        <v>6489.3</v>
      </c>
      <c r="Z9" s="48">
        <f ca="1">SUMIFS(  INDIRECT(CONCATENATE("'wind'!", $C9, ":", $C9)),   wind!$6:$6, Z$4) - SUMIFS(   INDIRECT(CONCATENATE("offshore!",$D9,":", $D9)), offshore!$4:$4, Z$4)</f>
        <v>7204</v>
      </c>
      <c r="AA9" s="48">
        <f ca="1">SUMIFS(  INDIRECT(CONCATENATE("'wind'!", $C9, ":", $C9)),   wind!$6:$6, AA$4) - SUMIFS(   INDIRECT(CONCATENATE("offshore!",$D9,":", $D9)), offshore!$4:$4, AA$4)</f>
        <v>8792.5</v>
      </c>
      <c r="AB9" s="48">
        <f ca="1">SUMIFS(  INDIRECT(CONCATENATE("'wind'!", $C9, ":", $C9)),   wind!$6:$6, AB$4) - SUMIFS(   INDIRECT(CONCATENATE("offshore!",$D9,":", $D9)), offshore!$4:$4, AB$4)</f>
        <v>9789</v>
      </c>
      <c r="AC9" s="48">
        <f ca="1">SUMIFS(  INDIRECT(CONCATENATE("'wind'!", $C9, ":", $C9)),   wind!$6:$6, AC$4) - SUMIFS(   INDIRECT(CONCATENATE("offshore!",$D9,":", $D9)), offshore!$4:$4, AC$4)</f>
        <v>11894</v>
      </c>
      <c r="AD9" s="48">
        <f ca="1">SUMIFS(  INDIRECT(CONCATENATE("'wind'!", $C9, ":", $C9)),   wind!$6:$6, AD$4) - SUMIFS(   INDIRECT(CONCATENATE("offshore!",$D9,":", $D9)), offshore!$4:$4, AD$4)</f>
        <v>14392</v>
      </c>
      <c r="AE9" s="48">
        <f ca="1">SUMIFS(  INDIRECT(CONCATENATE("'wind'!", $C9, ":", $C9)),   wind!$6:$6, AE$4) - SUMIFS(   INDIRECT(CONCATENATE("offshore!",$D9,":", $D9)), offshore!$4:$4, AE$4)</f>
        <v>16248</v>
      </c>
      <c r="AF9" s="48">
        <f ca="1">SUMIFS(  INDIRECT(CONCATENATE("'wind'!", $C9, ":", $C9)),   wind!$6:$6, AF$4) - SUMIFS(   INDIRECT(CONCATENATE("offshore!",$D9,":", $D9)), 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wind!$C:$C, 0)</f>
        <v>12</v>
      </c>
      <c r="D10" s="20">
        <f>IFERROR(MATCH($E10, offshore!$D:$D, 0), 1)</f>
        <v>1</v>
      </c>
      <c r="E10" s="17" t="s">
        <v>69</v>
      </c>
      <c r="F10" s="48">
        <f ca="1">SUMIFS(  INDIRECT(CONCATENATE("'wind'!", $C10, ":", $C10)),   wind!$6:$6, F$4) - SUMIFS(   INDIRECT(CONCATENATE("offshore!",$D10,":", $D10)), offshore!$4:$4, F$4)</f>
        <v>0</v>
      </c>
      <c r="G10" s="48">
        <f ca="1">SUMIFS(  INDIRECT(CONCATENATE("'wind'!", $C10, ":", $C10)),   wind!$6:$6, G$4) - SUMIFS(   INDIRECT(CONCATENATE("offshore!",$D10,":", $D10)), offshore!$4:$4, G$4)</f>
        <v>0</v>
      </c>
      <c r="H10" s="48">
        <f ca="1">SUMIFS(  INDIRECT(CONCATENATE("'wind'!", $C10, ":", $C10)),   wind!$6:$6, H$4) - SUMIFS(   INDIRECT(CONCATENATE("offshore!",$D10,":", $D10)), offshore!$4:$4, H$4)</f>
        <v>0</v>
      </c>
      <c r="I10" s="48">
        <f ca="1">SUMIFS(  INDIRECT(CONCATENATE("'wind'!", $C10, ":", $C10)),   wind!$6:$6, I$4) - SUMIFS(   INDIRECT(CONCATENATE("offshore!",$D10,":", $D10)), offshore!$4:$4, I$4)</f>
        <v>0</v>
      </c>
      <c r="J10" s="48">
        <f ca="1">SUMIFS(  INDIRECT(CONCATENATE("'wind'!", $C10, ":", $C10)),   wind!$6:$6, J$4) - SUMIFS(   INDIRECT(CONCATENATE("offshore!",$D10,":", $D10)), offshore!$4:$4, J$4)</f>
        <v>0</v>
      </c>
      <c r="K10" s="48">
        <f ca="1">SUMIFS(  INDIRECT(CONCATENATE("'wind'!", $C10, ":", $C10)),   wind!$6:$6, K$4) - SUMIFS(   INDIRECT(CONCATENATE("offshore!",$D10,":", $D10)), offshore!$4:$4, K$4)</f>
        <v>0</v>
      </c>
      <c r="L10" s="48">
        <f ca="1">SUMIFS(  INDIRECT(CONCATENATE("'wind'!", $C10, ":", $C10)),   wind!$6:$6, L$4) - SUMIFS(   INDIRECT(CONCATENATE("offshore!",$D10,":", $D10)), offshore!$4:$4, L$4)</f>
        <v>0</v>
      </c>
      <c r="M10" s="48">
        <f ca="1">SUMIFS(  INDIRECT(CONCATENATE("'wind'!", $C10, ":", $C10)),   wind!$6:$6, M$4) - SUMIFS(   INDIRECT(CONCATENATE("offshore!",$D10,":", $D10)), offshore!$4:$4, M$4)</f>
        <v>0</v>
      </c>
      <c r="N10" s="48">
        <f ca="1">SUMIFS(  INDIRECT(CONCATENATE("'wind'!", $C10, ":", $C10)),   wind!$6:$6, N$4) - SUMIFS(   INDIRECT(CONCATENATE("offshore!",$D10,":", $D10)), offshore!$4:$4, N$4)</f>
        <v>0</v>
      </c>
      <c r="O10" s="48">
        <f ca="1">SUMIFS(  INDIRECT(CONCATENATE("'wind'!", $C10, ":", $C10)),   wind!$6:$6, O$4) - SUMIFS(   INDIRECT(CONCATENATE("offshore!",$D10,":", $D10)), offshore!$4:$4, O$4)</f>
        <v>0</v>
      </c>
      <c r="P10" s="48">
        <f ca="1">SUMIFS(  INDIRECT(CONCATENATE("'wind'!", $C10, ":", $C10)),   wind!$6:$6, P$4) - SUMIFS(   INDIRECT(CONCATENATE("offshore!",$D10,":", $D10)), offshore!$4:$4, P$4)</f>
        <v>458</v>
      </c>
      <c r="Q10" s="48">
        <f ca="1">SUMIFS(  INDIRECT(CONCATENATE("'wind'!", $C10, ":", $C10)),   wind!$6:$6, Q$4) - SUMIFS(   INDIRECT(CONCATENATE("offshore!",$D10,":", $D10)), offshore!$4:$4, Q$4)</f>
        <v>801</v>
      </c>
      <c r="R10" s="48">
        <f ca="1">SUMIFS(  INDIRECT(CONCATENATE("'wind'!", $C10, ":", $C10)),   wind!$6:$6, R$4) - SUMIFS(   INDIRECT(CONCATENATE("offshore!",$D10,":", $D10)), offshore!$4:$4, R$4)</f>
        <v>1329</v>
      </c>
      <c r="S10" s="48">
        <f ca="1">SUMIFS(  INDIRECT(CONCATENATE("'wind'!", $C10, ":", $C10)),   wind!$6:$6, S$4) - SUMIFS(   INDIRECT(CONCATENATE("offshore!",$D10,":", $D10)), offshore!$4:$4, S$4)</f>
        <v>1691</v>
      </c>
      <c r="T10" s="48">
        <f ca="1">SUMIFS(  INDIRECT(CONCATENATE("'wind'!", $C10, ":", $C10)),   wind!$6:$6, T$4) - SUMIFS(   INDIRECT(CONCATENATE("offshore!",$D10,":", $D10)), offshore!$4:$4, T$4)</f>
        <v>2312</v>
      </c>
      <c r="U10" s="48">
        <f ca="1">SUMIFS(  INDIRECT(CONCATENATE("'wind'!", $C10, ":", $C10)),   wind!$6:$6, U$4) - SUMIFS(   INDIRECT(CONCATENATE("offshore!",$D10,":", $D10)), offshore!$4:$4, U$4)</f>
        <v>2956</v>
      </c>
      <c r="V10" s="48">
        <f ca="1">SUMIFS(  INDIRECT(CONCATENATE("'wind'!", $C10, ":", $C10)),   wind!$6:$6, V$4) - SUMIFS(   INDIRECT(CONCATENATE("offshore!",$D10,":", $D10)), offshore!$4:$4, V$4)</f>
        <v>3763</v>
      </c>
      <c r="W10" s="48">
        <f ca="1">SUMIFS(  INDIRECT(CONCATENATE("'wind'!", $C10, ":", $C10)),   wind!$6:$6, W$4) - SUMIFS(   INDIRECT(CONCATENATE("offshore!",$D10,":", $D10)), offshore!$4:$4, W$4)</f>
        <v>4718</v>
      </c>
      <c r="X10" s="48">
        <f ca="1">SUMIFS(  INDIRECT(CONCATENATE("'wind'!", $C10, ":", $C10)),   wind!$6:$6, X$4) - SUMIFS(   INDIRECT(CONCATENATE("offshore!",$D10,":", $D10)), offshore!$4:$4, X$4)</f>
        <v>6101</v>
      </c>
      <c r="Y10" s="48">
        <f ca="1">SUMIFS(  INDIRECT(CONCATENATE("'wind'!", $C10, ":", $C10)),   wind!$6:$6, Y$4) - SUMIFS(   INDIRECT(CONCATENATE("offshore!",$D10,":", $D10)), offshore!$4:$4, Y$4)</f>
        <v>6857</v>
      </c>
      <c r="Z10" s="48">
        <f ca="1">SUMIFS(  INDIRECT(CONCATENATE("'wind'!", $C10, ":", $C10)),   wind!$6:$6, Z$4) - SUMIFS(   INDIRECT(CONCATENATE("offshore!",$D10,":", $D10)), offshore!$4:$4, Z$4)</f>
        <v>7369</v>
      </c>
      <c r="AA10" s="48">
        <f ca="1">SUMIFS(  INDIRECT(CONCATENATE("'wind'!", $C10, ":", $C10)),   wind!$6:$6, AA$4) - SUMIFS(   INDIRECT(CONCATENATE("offshore!",$D10,":", $D10)), offshore!$4:$4, AA$4)</f>
        <v>8056</v>
      </c>
      <c r="AB10" s="48">
        <f ca="1">SUMIFS(  INDIRECT(CONCATENATE("'wind'!", $C10, ":", $C10)),   wind!$6:$6, AB$4) - SUMIFS(   INDIRECT(CONCATENATE("offshore!",$D10,":", $D10)), offshore!$4:$4, AB$4)</f>
        <v>9305</v>
      </c>
      <c r="AC10" s="48">
        <f ca="1">SUMIFS(  INDIRECT(CONCATENATE("'wind'!", $C10, ":", $C10)),   wind!$6:$6, AC$4) - SUMIFS(   INDIRECT(CONCATENATE("offshore!",$D10,":", $D10)), offshore!$4:$4, AC$4)</f>
        <v>10750</v>
      </c>
      <c r="AD10" s="48">
        <f ca="1">SUMIFS(  INDIRECT(CONCATENATE("'wind'!", $C10, ":", $C10)),   wind!$6:$6, AD$4) - SUMIFS(   INDIRECT(CONCATENATE("offshore!",$D10,":", $D10)), offshore!$4:$4, AD$4)</f>
        <v>11969</v>
      </c>
      <c r="AE10" s="48">
        <f ca="1">SUMIFS(  INDIRECT(CONCATENATE("'wind'!", $C10, ":", $C10)),   wind!$6:$6, AE$4) - SUMIFS(   INDIRECT(CONCATENATE("offshore!",$D10,":", $D10)), offshore!$4:$4, AE$4)</f>
        <v>12342</v>
      </c>
      <c r="AF10" s="48">
        <f ca="1">SUMIFS(  INDIRECT(CONCATENATE("'wind'!", $C10, ":", $C10)),   wind!$6:$6, AF$4) - SUMIFS(   INDIRECT(CONCATENATE("offshore!",$D10,":", $D10)), 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wind!$C:$C, 0)</f>
        <v>13</v>
      </c>
      <c r="D11" s="20">
        <f>IFERROR(MATCH($E11, offshore!$D:$D, 0), 1)</f>
        <v>16</v>
      </c>
      <c r="E11" s="17" t="s">
        <v>70</v>
      </c>
      <c r="F11" s="48">
        <f ca="1">SUMIFS(  INDIRECT(CONCATENATE("'wind'!", $C11, ":", $C11)),   wind!$6:$6, F$4) - SUMIFS(   INDIRECT(CONCATENATE("offshore!",$D11,":", $D11)), offshore!$4:$4, F$4)</f>
        <v>180</v>
      </c>
      <c r="G11" s="48">
        <f ca="1">SUMIFS(  INDIRECT(CONCATENATE("'wind'!", $C11, ":", $C11)),   wind!$6:$6, G$4) - SUMIFS(   INDIRECT(CONCATENATE("offshore!",$D11,":", $D11)), offshore!$4:$4, G$4)</f>
        <v>277</v>
      </c>
      <c r="H11" s="48">
        <f ca="1">SUMIFS(  INDIRECT(CONCATENATE("'wind'!", $C11, ":", $C11)),   wind!$6:$6, H$4) - SUMIFS(   INDIRECT(CONCATENATE("offshore!",$D11,":", $D11)), offshore!$4:$4, H$4)</f>
        <v>427</v>
      </c>
      <c r="I11" s="48">
        <f ca="1">SUMIFS(  INDIRECT(CONCATENATE("'wind'!", $C11, ":", $C11)),   wind!$6:$6, I$4) - SUMIFS(   INDIRECT(CONCATENATE("offshore!",$D11,":", $D11)), offshore!$4:$4, I$4)</f>
        <v>682</v>
      </c>
      <c r="J11" s="48">
        <f ca="1">SUMIFS(  INDIRECT(CONCATENATE("'wind'!", $C11, ":", $C11)),   wind!$6:$6, J$4) - SUMIFS(   INDIRECT(CONCATENATE("offshore!",$D11,":", $D11)), offshore!$4:$4, J$4)</f>
        <v>788</v>
      </c>
      <c r="K11" s="48">
        <f ca="1">SUMIFS(  INDIRECT(CONCATENATE("'wind'!", $C11, ":", $C11)),   wind!$6:$6, K$4) - SUMIFS(   INDIRECT(CONCATENATE("offshore!",$D11,":", $D11)), offshore!$4:$4, K$4)</f>
        <v>905</v>
      </c>
      <c r="L11" s="48">
        <f ca="1">SUMIFS(  INDIRECT(CONCATENATE("'wind'!", $C11, ":", $C11)),   wind!$6:$6, L$4) - SUMIFS(   INDIRECT(CONCATENATE("offshore!",$D11,":", $D11)), offshore!$4:$4, L$4)</f>
        <v>1266</v>
      </c>
      <c r="M11" s="48">
        <f ca="1">SUMIFS(  INDIRECT(CONCATENATE("'wind'!", $C11, ":", $C11)),   wind!$6:$6, M$4) - SUMIFS(   INDIRECT(CONCATENATE("offshore!",$D11,":", $D11)), offshore!$4:$4, M$4)</f>
        <v>1718</v>
      </c>
      <c r="N11" s="48">
        <f ca="1">SUMIFS(  INDIRECT(CONCATENATE("'wind'!", $C11, ":", $C11)),   wind!$6:$6, N$4) - SUMIFS(   INDIRECT(CONCATENATE("offshore!",$D11,":", $D11)), offshore!$4:$4, N$4)</f>
        <v>2123</v>
      </c>
      <c r="O11" s="48">
        <f ca="1">SUMIFS(  INDIRECT(CONCATENATE("'wind'!", $C11, ":", $C11)),   wind!$6:$6, O$4) - SUMIFS(   INDIRECT(CONCATENATE("offshore!",$D11,":", $D11)), offshore!$4:$4, O$4)</f>
        <v>2726</v>
      </c>
      <c r="P11" s="48">
        <f ca="1">SUMIFS(  INDIRECT(CONCATENATE("'wind'!", $C11, ":", $C11)),   wind!$6:$6, P$4) - SUMIFS(   INDIRECT(CONCATENATE("offshore!",$D11,":", $D11)), offshore!$4:$4, P$4)</f>
        <v>3735.9</v>
      </c>
      <c r="Q11" s="48">
        <f ca="1">SUMIFS(  INDIRECT(CONCATENATE("'wind'!", $C11, ":", $C11)),   wind!$6:$6, Q$4) - SUMIFS(   INDIRECT(CONCATENATE("offshore!",$D11,":", $D11)), offshore!$4:$4, Q$4)</f>
        <v>4849.8999999999996</v>
      </c>
      <c r="R11" s="48">
        <f ca="1">SUMIFS(  INDIRECT(CONCATENATE("'wind'!", $C11, ":", $C11)),   wind!$6:$6, R$4) - SUMIFS(   INDIRECT(CONCATENATE("offshore!",$D11,":", $D11)), offshore!$4:$4, R$4)</f>
        <v>5797</v>
      </c>
      <c r="S11" s="48">
        <f ca="1">SUMIFS(  INDIRECT(CONCATENATE("'wind'!", $C11, ":", $C11)),   wind!$6:$6, S$4) - SUMIFS(   INDIRECT(CONCATENATE("offshore!",$D11,":", $D11)), offshore!$4:$4, S$4)</f>
        <v>6747</v>
      </c>
      <c r="T11" s="48">
        <f ca="1">SUMIFS(  INDIRECT(CONCATENATE("'wind'!", $C11, ":", $C11)),   wind!$6:$6, T$4) - SUMIFS(   INDIRECT(CONCATENATE("offshore!",$D11,":", $D11)), offshore!$4:$4, T$4)</f>
        <v>8144</v>
      </c>
      <c r="U11" s="48">
        <f ca="1">SUMIFS(  INDIRECT(CONCATENATE("'wind'!", $C11, ":", $C11)),   wind!$6:$6, U$4) - SUMIFS(   INDIRECT(CONCATENATE("offshore!",$D11,":", $D11)), offshore!$4:$4, U$4)</f>
        <v>8551</v>
      </c>
      <c r="V11" s="48">
        <f ca="1">SUMIFS(  INDIRECT(CONCATENATE("'wind'!", $C11, ":", $C11)),   wind!$6:$6, V$4) - SUMIFS(   INDIRECT(CONCATENATE("offshore!",$D11,":", $D11)), offshore!$4:$4, V$4)</f>
        <v>8663</v>
      </c>
      <c r="W11" s="48">
        <f ca="1">SUMIFS(  INDIRECT(CONCATENATE("'wind'!", $C11, ":", $C11)),   wind!$6:$6, W$4) - SUMIFS(   INDIRECT(CONCATENATE("offshore!",$D11,":", $D11)), offshore!$4:$4, W$4)</f>
        <v>8973</v>
      </c>
      <c r="X11" s="48">
        <f ca="1">SUMIFS(  INDIRECT(CONCATENATE("'wind'!", $C11, ":", $C11)),   wind!$6:$6, X$4) - SUMIFS(   INDIRECT(CONCATENATE("offshore!",$D11,":", $D11)), offshore!$4:$4, X$4)</f>
        <v>9255</v>
      </c>
      <c r="Y11" s="48">
        <f ca="1">SUMIFS(  INDIRECT(CONCATENATE("'wind'!", $C11, ":", $C11)),   wind!$6:$6, Y$4) - SUMIFS(   INDIRECT(CONCATENATE("offshore!",$D11,":", $D11)), offshore!$4:$4, Y$4)</f>
        <v>9479</v>
      </c>
      <c r="Z11" s="48">
        <f ca="1">SUMIFS(  INDIRECT(CONCATENATE("'wind'!", $C11, ":", $C11)),   wind!$6:$6, Z$4) - SUMIFS(   INDIRECT(CONCATENATE("offshore!",$D11,":", $D11)), offshore!$4:$4, Z$4)</f>
        <v>9958</v>
      </c>
      <c r="AA11" s="48">
        <f ca="1">SUMIFS(  INDIRECT(CONCATENATE("'wind'!", $C11, ":", $C11)),   wind!$6:$6, AA$4) - SUMIFS(   INDIRECT(CONCATENATE("offshore!",$D11,":", $D11)), offshore!$4:$4, AA$4)</f>
        <v>10512</v>
      </c>
      <c r="AB11" s="48">
        <f ca="1">SUMIFS(  INDIRECT(CONCATENATE("'wind'!", $C11, ":", $C11)),   wind!$6:$6, AB$4) - SUMIFS(   INDIRECT(CONCATENATE("offshore!",$D11,":", $D11)), offshore!$4:$4, AB$4)</f>
        <v>10852</v>
      </c>
      <c r="AC11" s="48">
        <f ca="1">SUMIFS(  INDIRECT(CONCATENATE("'wind'!", $C11, ":", $C11)),   wind!$6:$6, AC$4) - SUMIFS(   INDIRECT(CONCATENATE("offshore!",$D11,":", $D11)), offshore!$4:$4, AC$4)</f>
        <v>11108</v>
      </c>
      <c r="AD11" s="48">
        <f ca="1">SUMIFS(  INDIRECT(CONCATENATE("'wind'!", $C11, ":", $C11)),   wind!$6:$6, AD$4) - SUMIFS(   INDIRECT(CONCATENATE("offshore!",$D11,":", $D11)), offshore!$4:$4, AD$4)</f>
        <v>11818</v>
      </c>
      <c r="AE11" s="48">
        <f ca="1">SUMIFS(  INDIRECT(CONCATENATE("'wind'!", $C11, ":", $C11)),   wind!$6:$6, AE$4) - SUMIFS(   INDIRECT(CONCATENATE("offshore!",$D11,":", $D11)), offshore!$4:$4, AE$4)</f>
        <v>12305</v>
      </c>
      <c r="AF11" s="48">
        <f ca="1">SUMIFS(  INDIRECT(CONCATENATE("'wind'!", $C11, ":", $C11)),   wind!$6:$6, AF$4) - SUMIFS(   INDIRECT(CONCATENATE("offshore!",$D11,":", $D11)), 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wind!$C:$C, 0)</f>
        <v>14</v>
      </c>
      <c r="D12" s="20">
        <f>IFERROR(MATCH($E12, offshore!$D:$D, 0), 1)</f>
        <v>8</v>
      </c>
      <c r="E12" s="17" t="s">
        <v>71</v>
      </c>
      <c r="F12" s="48">
        <f ca="1">SUMIFS(  INDIRECT(CONCATENATE("'wind'!", $C12, ":", $C12)),   wind!$6:$6, F$4) - SUMIFS(   INDIRECT(CONCATENATE("offshore!",$D12,":", $D12)), offshore!$4:$4, F$4)</f>
        <v>361</v>
      </c>
      <c r="G12" s="48">
        <f ca="1">SUMIFS(  INDIRECT(CONCATENATE("'wind'!", $C12, ":", $C12)),   wind!$6:$6, G$4) - SUMIFS(   INDIRECT(CONCATENATE("offshore!",$D12,":", $D12)), offshore!$4:$4, G$4)</f>
        <v>433</v>
      </c>
      <c r="H12" s="48">
        <f ca="1">SUMIFS(  INDIRECT(CONCATENATE("'wind'!", $C12, ":", $C12)),   wind!$6:$6, H$4) - SUMIFS(   INDIRECT(CONCATENATE("offshore!",$D12,":", $D12)), offshore!$4:$4, H$4)</f>
        <v>446</v>
      </c>
      <c r="I12" s="48">
        <f ca="1">SUMIFS(  INDIRECT(CONCATENATE("'wind'!", $C12, ":", $C12)),   wind!$6:$6, I$4) - SUMIFS(   INDIRECT(CONCATENATE("offshore!",$D12,":", $D12)), offshore!$4:$4, I$4)</f>
        <v>486</v>
      </c>
      <c r="J12" s="48">
        <f ca="1">SUMIFS(  INDIRECT(CONCATENATE("'wind'!", $C12, ":", $C12)),   wind!$6:$6, J$4) - SUMIFS(   INDIRECT(CONCATENATE("offshore!",$D12,":", $D12)), offshore!$4:$4, J$4)</f>
        <v>693</v>
      </c>
      <c r="K12" s="48">
        <f ca="1">SUMIFS(  INDIRECT(CONCATENATE("'wind'!", $C12, ":", $C12)),   wind!$6:$6, K$4) - SUMIFS(   INDIRECT(CONCATENATE("offshore!",$D12,":", $D12)), offshore!$4:$4, K$4)</f>
        <v>910</v>
      </c>
      <c r="L12" s="48">
        <f ca="1">SUMIFS(  INDIRECT(CONCATENATE("'wind'!", $C12, ":", $C12)),   wind!$6:$6, L$4) - SUMIFS(   INDIRECT(CONCATENATE("offshore!",$D12,":", $D12)), offshore!$4:$4, L$4)</f>
        <v>1079</v>
      </c>
      <c r="M12" s="48">
        <f ca="1">SUMIFS(  INDIRECT(CONCATENATE("'wind'!", $C12, ":", $C12)),   wind!$6:$6, M$4) - SUMIFS(   INDIRECT(CONCATENATE("offshore!",$D12,":", $D12)), offshore!$4:$4, M$4)</f>
        <v>1219</v>
      </c>
      <c r="N12" s="48">
        <f ca="1">SUMIFS(  INDIRECT(CONCATENATE("'wind'!", $C12, ":", $C12)),   wind!$6:$6, N$4) - SUMIFS(   INDIRECT(CONCATENATE("offshore!",$D12,":", $D12)), offshore!$4:$4, N$4)</f>
        <v>1558</v>
      </c>
      <c r="O12" s="48">
        <f ca="1">SUMIFS(  INDIRECT(CONCATENATE("'wind'!", $C12, ":", $C12)),   wind!$6:$6, O$4) - SUMIFS(   INDIRECT(CONCATENATE("offshore!",$D12,":", $D12)), offshore!$4:$4, O$4)</f>
        <v>1747</v>
      </c>
      <c r="P12" s="48">
        <f ca="1">SUMIFS(  INDIRECT(CONCATENATE("'wind'!", $C12, ":", $C12)),   wind!$6:$6, P$4) - SUMIFS(   INDIRECT(CONCATENATE("offshore!",$D12,":", $D12)), offshore!$4:$4, P$4)</f>
        <v>1978.2</v>
      </c>
      <c r="Q12" s="48">
        <f ca="1">SUMIFS(  INDIRECT(CONCATENATE("'wind'!", $C12, ":", $C12)),   wind!$6:$6, Q$4) - SUMIFS(   INDIRECT(CONCATENATE("offshore!",$D12,":", $D12)), offshore!$4:$4, Q$4)</f>
        <v>1982.2</v>
      </c>
      <c r="R12" s="48">
        <f ca="1">SUMIFS(  INDIRECT(CONCATENATE("'wind'!", $C12, ":", $C12)),   wind!$6:$6, R$4) - SUMIFS(   INDIRECT(CONCATENATE("offshore!",$D12,":", $D12)), offshore!$4:$4, R$4)</f>
        <v>2017</v>
      </c>
      <c r="S12" s="48">
        <f ca="1">SUMIFS(  INDIRECT(CONCATENATE("'wind'!", $C12, ":", $C12)),   wind!$6:$6, S$4) - SUMIFS(   INDIRECT(CONCATENATE("offshore!",$D12,":", $D12)), offshore!$4:$4, S$4)</f>
        <v>2100</v>
      </c>
      <c r="T12" s="48">
        <f ca="1">SUMIFS(  INDIRECT(CONCATENATE("'wind'!", $C12, ":", $C12)),   wind!$6:$6, T$4) - SUMIFS(   INDIRECT(CONCATENATE("offshore!",$D12,":", $D12)), offshore!$4:$4, T$4)</f>
        <v>2163</v>
      </c>
      <c r="U12" s="48">
        <f ca="1">SUMIFS(  INDIRECT(CONCATENATE("'wind'!", $C12, ":", $C12)),   wind!$6:$6, U$4) - SUMIFS(   INDIRECT(CONCATENATE("offshore!",$D12,":", $D12)), offshore!$4:$4, U$4)</f>
        <v>2465</v>
      </c>
      <c r="V12" s="48">
        <f ca="1">SUMIFS(  INDIRECT(CONCATENATE("'wind'!", $C12, ":", $C12)),   wind!$6:$6, V$4) - SUMIFS(   INDIRECT(CONCATENATE("offshore!",$D12,":", $D12)), offshore!$4:$4, V$4)</f>
        <v>2577</v>
      </c>
      <c r="W12" s="48">
        <f ca="1">SUMIFS(  INDIRECT(CONCATENATE("'wind'!", $C12, ":", $C12)),   wind!$6:$6, W$4) - SUMIFS(   INDIRECT(CONCATENATE("offshore!",$D12,":", $D12)), offshore!$4:$4, W$4)</f>
        <v>3034</v>
      </c>
      <c r="X12" s="48">
        <f ca="1">SUMIFS(  INDIRECT(CONCATENATE("'wind'!", $C12, ":", $C12)),   wind!$6:$6, X$4) - SUMIFS(   INDIRECT(CONCATENATE("offshore!",$D12,":", $D12)), offshore!$4:$4, X$4)</f>
        <v>3223</v>
      </c>
      <c r="Y12" s="48">
        <f ca="1">SUMIFS(  INDIRECT(CONCATENATE("'wind'!", $C12, ":", $C12)),   wind!$6:$6, Y$4) - SUMIFS(   INDIRECT(CONCATENATE("offshore!",$D12,":", $D12)), offshore!$4:$4, Y$4)</f>
        <v>3384</v>
      </c>
      <c r="Z12" s="48">
        <f ca="1">SUMIFS(  INDIRECT(CONCATENATE("'wind'!", $C12, ":", $C12)),   wind!$6:$6, Z$4) - SUMIFS(   INDIRECT(CONCATENATE("offshore!",$D12,":", $D12)), offshore!$4:$4, Z$4)</f>
        <v>3514</v>
      </c>
      <c r="AA12" s="48">
        <f ca="1">SUMIFS(  INDIRECT(CONCATENATE("'wind'!", $C12, ":", $C12)),   wind!$6:$6, AA$4) - SUMIFS(   INDIRECT(CONCATENATE("offshore!",$D12,":", $D12)), offshore!$4:$4, AA$4)</f>
        <v>3643</v>
      </c>
      <c r="AB12" s="48">
        <f ca="1">SUMIFS(  INDIRECT(CONCATENATE("'wind'!", $C12, ":", $C12)),   wind!$6:$6, AB$4) - SUMIFS(   INDIRECT(CONCATENATE("offshore!",$D12,":", $D12)), offshore!$4:$4, AB$4)</f>
        <v>4324.5</v>
      </c>
      <c r="AC12" s="48">
        <f ca="1">SUMIFS(  INDIRECT(CONCATENATE("'wind'!", $C12, ":", $C12)),   wind!$6:$6, AC$4) - SUMIFS(   INDIRECT(CONCATENATE("offshore!",$D12,":", $D12)), offshore!$4:$4, AC$4)</f>
        <v>5705.5</v>
      </c>
      <c r="AD12" s="48">
        <f ca="1">SUMIFS(  INDIRECT(CONCATENATE("'wind'!", $C12, ":", $C12)),   wind!$6:$6, AD$4) - SUMIFS(   INDIRECT(CONCATENATE("offshore!",$D12,":", $D12)), offshore!$4:$4, AD$4)</f>
        <v>6481</v>
      </c>
      <c r="AE12" s="48">
        <f ca="1">SUMIFS(  INDIRECT(CONCATENATE("'wind'!", $C12, ":", $C12)),   wind!$6:$6, AE$4) - SUMIFS(   INDIRECT(CONCATENATE("offshore!",$D12,":", $D12)), offshore!$4:$4, AE$4)</f>
        <v>7515.5</v>
      </c>
      <c r="AF12" s="48">
        <f ca="1">SUMIFS(  INDIRECT(CONCATENATE("'wind'!", $C12, ":", $C12)),   wind!$6:$6, AF$4) - SUMIFS(   INDIRECT(CONCATENATE("offshore!",$D12,":", $D12)), 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wind!$C:$C, 0)</f>
        <v>15</v>
      </c>
      <c r="D13" s="20">
        <f>IFERROR(MATCH($E13, offshore!$D:$D, 0), 1)</f>
        <v>1</v>
      </c>
      <c r="E13" s="17" t="s">
        <v>72</v>
      </c>
      <c r="F13" s="48">
        <f ca="1">SUMIFS(  INDIRECT(CONCATENATE("'wind'!", $C13, ":", $C13)),   wind!$6:$6, F$4) - SUMIFS(   INDIRECT(CONCATENATE("offshore!",$D13,":", $D13)), offshore!$4:$4, F$4)</f>
        <v>0</v>
      </c>
      <c r="G13" s="48">
        <f ca="1">SUMIFS(  INDIRECT(CONCATENATE("'wind'!", $C13, ":", $C13)),   wind!$6:$6, G$4) - SUMIFS(   INDIRECT(CONCATENATE("offshore!",$D13,":", $D13)), offshore!$4:$4, G$4)</f>
        <v>0</v>
      </c>
      <c r="H13" s="48">
        <f ca="1">SUMIFS(  INDIRECT(CONCATENATE("'wind'!", $C13, ":", $C13)),   wind!$6:$6, H$4) - SUMIFS(   INDIRECT(CONCATENATE("offshore!",$D13,":", $D13)), offshore!$4:$4, H$4)</f>
        <v>0</v>
      </c>
      <c r="I13" s="48">
        <f ca="1">SUMIFS(  INDIRECT(CONCATENATE("'wind'!", $C13, ":", $C13)),   wind!$6:$6, I$4) - SUMIFS(   INDIRECT(CONCATENATE("offshore!",$D13,":", $D13)), offshore!$4:$4, I$4)</f>
        <v>0</v>
      </c>
      <c r="J13" s="48">
        <f ca="1">SUMIFS(  INDIRECT(CONCATENATE("'wind'!", $C13, ":", $C13)),   wind!$6:$6, J$4) - SUMIFS(   INDIRECT(CONCATENATE("offshore!",$D13,":", $D13)), offshore!$4:$4, J$4)</f>
        <v>27</v>
      </c>
      <c r="K13" s="48">
        <f ca="1">SUMIFS(  INDIRECT(CONCATENATE("'wind'!", $C13, ":", $C13)),   wind!$6:$6, K$4) - SUMIFS(   INDIRECT(CONCATENATE("offshore!",$D13,":", $D13)), offshore!$4:$4, K$4)</f>
        <v>63</v>
      </c>
      <c r="L13" s="48">
        <f ca="1">SUMIFS(  INDIRECT(CONCATENATE("'wind'!", $C13, ":", $C13)),   wind!$6:$6, L$4) - SUMIFS(   INDIRECT(CONCATENATE("offshore!",$D13,":", $D13)), offshore!$4:$4, L$4)</f>
        <v>63</v>
      </c>
      <c r="M13" s="48">
        <f ca="1">SUMIFS(  INDIRECT(CONCATENATE("'wind'!", $C13, ":", $C13)),   wind!$6:$6, M$4) - SUMIFS(   INDIRECT(CONCATENATE("offshore!",$D13,":", $D13)), offshore!$4:$4, M$4)</f>
        <v>83</v>
      </c>
      <c r="N13" s="48">
        <f ca="1">SUMIFS(  INDIRECT(CONCATENATE("'wind'!", $C13, ":", $C13)),   wind!$6:$6, N$4) - SUMIFS(   INDIRECT(CONCATENATE("offshore!",$D13,":", $D13)), offshore!$4:$4, N$4)</f>
        <v>153</v>
      </c>
      <c r="O13" s="48">
        <f ca="1">SUMIFS(  INDIRECT(CONCATENATE("'wind'!", $C13, ":", $C13)),   wind!$6:$6, O$4) - SUMIFS(   INDIRECT(CONCATENATE("offshore!",$D13,":", $D13)), offshore!$4:$4, O$4)</f>
        <v>276</v>
      </c>
      <c r="P13" s="48">
        <f ca="1">SUMIFS(  INDIRECT(CONCATENATE("'wind'!", $C13, ":", $C13)),   wind!$6:$6, P$4) - SUMIFS(   INDIRECT(CONCATENATE("offshore!",$D13,":", $D13)), offshore!$4:$4, P$4)</f>
        <v>544</v>
      </c>
      <c r="Q13" s="48">
        <f ca="1">SUMIFS(  INDIRECT(CONCATENATE("'wind'!", $C13, ":", $C13)),   wind!$6:$6, Q$4) - SUMIFS(   INDIRECT(CONCATENATE("offshore!",$D13,":", $D13)), offshore!$4:$4, Q$4)</f>
        <v>725</v>
      </c>
      <c r="R13" s="48">
        <f ca="1">SUMIFS(  INDIRECT(CONCATENATE("'wind'!", $C13, ":", $C13)),   wind!$6:$6, R$4) - SUMIFS(   INDIRECT(CONCATENATE("offshore!",$D13,":", $D13)), offshore!$4:$4, R$4)</f>
        <v>1107</v>
      </c>
      <c r="S13" s="48">
        <f ca="1">SUMIFS(  INDIRECT(CONCATENATE("'wind'!", $C13, ":", $C13)),   wind!$6:$6, S$4) - SUMIFS(   INDIRECT(CONCATENATE("offshore!",$D13,":", $D13)), offshore!$4:$4, S$4)</f>
        <v>1616</v>
      </c>
      <c r="T13" s="48">
        <f ca="1">SUMIFS(  INDIRECT(CONCATENATE("'wind'!", $C13, ":", $C13)),   wind!$6:$6, T$4) - SUMIFS(   INDIRECT(CONCATENATE("offshore!",$D13,":", $D13)), offshore!$4:$4, T$4)</f>
        <v>2497</v>
      </c>
      <c r="U13" s="48">
        <f ca="1">SUMIFS(  INDIRECT(CONCATENATE("'wind'!", $C13, ":", $C13)),   wind!$6:$6, U$4) - SUMIFS(   INDIRECT(CONCATENATE("offshore!",$D13,":", $D13)), offshore!$4:$4, U$4)</f>
        <v>3390</v>
      </c>
      <c r="V13" s="48">
        <f ca="1">SUMIFS(  INDIRECT(CONCATENATE("'wind'!", $C13, ":", $C13)),   wind!$6:$6, V$4) - SUMIFS(   INDIRECT(CONCATENATE("offshore!",$D13,":", $D13)), offshore!$4:$4, V$4)</f>
        <v>3834</v>
      </c>
      <c r="W13" s="48">
        <f ca="1">SUMIFS(  INDIRECT(CONCATENATE("'wind'!", $C13, ":", $C13)),   wind!$6:$6, W$4) - SUMIFS(   INDIRECT(CONCATENATE("offshore!",$D13,":", $D13)), offshore!$4:$4, W$4)</f>
        <v>5100</v>
      </c>
      <c r="X13" s="48">
        <f ca="1">SUMIFS(  INDIRECT(CONCATENATE("'wind'!", $C13, ":", $C13)),   wind!$6:$6, X$4) - SUMIFS(   INDIRECT(CONCATENATE("offshore!",$D13,":", $D13)), offshore!$4:$4, X$4)</f>
        <v>5782</v>
      </c>
      <c r="Y13" s="48">
        <f ca="1">SUMIFS(  INDIRECT(CONCATENATE("'wind'!", $C13, ":", $C13)),   wind!$6:$6, Y$4) - SUMIFS(   INDIRECT(CONCATENATE("offshore!",$D13,":", $D13)), offshore!$4:$4, Y$4)</f>
        <v>6397</v>
      </c>
      <c r="Z13" s="48">
        <f ca="1">SUMIFS(  INDIRECT(CONCATENATE("'wind'!", $C13, ":", $C13)),   wind!$6:$6, Z$4) - SUMIFS(   INDIRECT(CONCATENATE("offshore!",$D13,":", $D13)), offshore!$4:$4, Z$4)</f>
        <v>5864</v>
      </c>
      <c r="AA13" s="48">
        <f ca="1">SUMIFS(  INDIRECT(CONCATENATE("'wind'!", $C13, ":", $C13)),   wind!$6:$6, AA$4) - SUMIFS(   INDIRECT(CONCATENATE("offshore!",$D13,":", $D13)), offshore!$4:$4, AA$4)</f>
        <v>5917</v>
      </c>
      <c r="AB13" s="48">
        <f ca="1">SUMIFS(  INDIRECT(CONCATENATE("'wind'!", $C13, ":", $C13)),   wind!$6:$6, AB$4) - SUMIFS(   INDIRECT(CONCATENATE("offshore!",$D13,":", $D13)), offshore!$4:$4, AB$4)</f>
        <v>6614</v>
      </c>
      <c r="AC13" s="48">
        <f ca="1">SUMIFS(  INDIRECT(CONCATENATE("'wind'!", $C13, ":", $C13)),   wind!$6:$6, AC$4) - SUMIFS(   INDIRECT(CONCATENATE("offshore!",$D13,":", $D13)), offshore!$4:$4, AC$4)</f>
        <v>7116</v>
      </c>
      <c r="AD13" s="48">
        <f ca="1">SUMIFS(  INDIRECT(CONCATENATE("'wind'!", $C13, ":", $C13)),   wind!$6:$6, AD$4) - SUMIFS(   INDIRECT(CONCATENATE("offshore!",$D13,":", $D13)), offshore!$4:$4, AD$4)</f>
        <v>7864</v>
      </c>
      <c r="AE13" s="48">
        <f ca="1">SUMIFS(  INDIRECT(CONCATENATE("'wind'!", $C13, ":", $C13)),   wind!$6:$6, AE$4) - SUMIFS(   INDIRECT(CONCATENATE("offshore!",$D13,":", $D13)), offshore!$4:$4, AE$4)</f>
        <v>9383</v>
      </c>
      <c r="AF13" s="48">
        <f ca="1">SUMIFS(  INDIRECT(CONCATENATE("'wind'!", $C13, ":", $C13)),   wind!$6:$6, AF$4) - SUMIFS(   INDIRECT(CONCATENATE("offshore!",$D13,":", $D13)), 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wind!$C:$C, 0)</f>
        <v>16</v>
      </c>
      <c r="D14" s="20">
        <f>IFERROR(MATCH($E14, offshore!$D:$D, 0), 1)</f>
        <v>11</v>
      </c>
      <c r="E14" s="17" t="s">
        <v>73</v>
      </c>
      <c r="F14" s="48">
        <f ca="1">SUMIFS(  INDIRECT(CONCATENATE("'wind'!", $C14, ":", $C14)),   wind!$6:$6, F$4) - SUMIFS(   INDIRECT(CONCATENATE("offshore!",$D14,":", $D14)), offshore!$4:$4, F$4)</f>
        <v>17</v>
      </c>
      <c r="G14" s="48">
        <f ca="1">SUMIFS(  INDIRECT(CONCATENATE("'wind'!", $C14, ":", $C14)),   wind!$6:$6, G$4) - SUMIFS(   INDIRECT(CONCATENATE("offshore!",$D14,":", $D14)), offshore!$4:$4, G$4)</f>
        <v>39</v>
      </c>
      <c r="H14" s="48">
        <f ca="1">SUMIFS(  INDIRECT(CONCATENATE("'wind'!", $C14, ":", $C14)),   wind!$6:$6, H$4) - SUMIFS(   INDIRECT(CONCATENATE("offshore!",$D14,":", $D14)), offshore!$4:$4, H$4)</f>
        <v>39</v>
      </c>
      <c r="I14" s="48">
        <f ca="1">SUMIFS(  INDIRECT(CONCATENATE("'wind'!", $C14, ":", $C14)),   wind!$6:$6, I$4) - SUMIFS(   INDIRECT(CONCATENATE("offshore!",$D14,":", $D14)), offshore!$4:$4, I$4)</f>
        <v>39</v>
      </c>
      <c r="J14" s="48">
        <f ca="1">SUMIFS(  INDIRECT(CONCATENATE("'wind'!", $C14, ":", $C14)),   wind!$6:$6, J$4) - SUMIFS(   INDIRECT(CONCATENATE("offshore!",$D14,":", $D14)), offshore!$4:$4, J$4)</f>
        <v>43</v>
      </c>
      <c r="K14" s="48">
        <f ca="1">SUMIFS(  INDIRECT(CONCATENATE("'wind'!", $C14, ":", $C14)),   wind!$6:$6, K$4) - SUMIFS(   INDIRECT(CONCATENATE("offshore!",$D14,":", $D14)), offshore!$4:$4, K$4)</f>
        <v>52</v>
      </c>
      <c r="L14" s="48">
        <f ca="1">SUMIFS(  INDIRECT(CONCATENATE("'wind'!", $C14, ":", $C14)),   wind!$6:$6, L$4) - SUMIFS(   INDIRECT(CONCATENATE("offshore!",$D14,":", $D14)), offshore!$4:$4, L$4)</f>
        <v>82</v>
      </c>
      <c r="M14" s="48">
        <f ca="1">SUMIFS(  INDIRECT(CONCATENATE("'wind'!", $C14, ":", $C14)),   wind!$6:$6, M$4) - SUMIFS(   INDIRECT(CONCATENATE("offshore!",$D14,":", $D14)), offshore!$4:$4, M$4)</f>
        <v>82</v>
      </c>
      <c r="N14" s="48">
        <f ca="1">SUMIFS(  INDIRECT(CONCATENATE("'wind'!", $C14, ":", $C14)),   wind!$6:$6, N$4) - SUMIFS(   INDIRECT(CONCATENATE("offshore!",$D14,":", $D14)), offshore!$4:$4, N$4)</f>
        <v>86</v>
      </c>
      <c r="O14" s="48">
        <f ca="1">SUMIFS(  INDIRECT(CONCATENATE("'wind'!", $C14, ":", $C14)),   wind!$6:$6, O$4) - SUMIFS(   INDIRECT(CONCATENATE("offshore!",$D14,":", $D14)), offshore!$4:$4, O$4)</f>
        <v>110</v>
      </c>
      <c r="P14" s="48">
        <f ca="1">SUMIFS(  INDIRECT(CONCATENATE("'wind'!", $C14, ":", $C14)),   wind!$6:$6, P$4) - SUMIFS(   INDIRECT(CONCATENATE("offshore!",$D14,":", $D14)), offshore!$4:$4, P$4)</f>
        <v>119</v>
      </c>
      <c r="Q14" s="48">
        <f ca="1">SUMIFS(  INDIRECT(CONCATENATE("'wind'!", $C14, ":", $C14)),   wind!$6:$6, Q$4) - SUMIFS(   INDIRECT(CONCATENATE("offshore!",$D14,":", $D14)), offshore!$4:$4, Q$4)</f>
        <v>122</v>
      </c>
      <c r="R14" s="48">
        <f ca="1">SUMIFS(  INDIRECT(CONCATENATE("'wind'!", $C14, ":", $C14)),   wind!$6:$6, R$4) - SUMIFS(   INDIRECT(CONCATENATE("offshore!",$D14,":", $D14)), offshore!$4:$4, R$4)</f>
        <v>171</v>
      </c>
      <c r="S14" s="48">
        <f ca="1">SUMIFS(  INDIRECT(CONCATENATE("'wind'!", $C14, ":", $C14)),   wind!$6:$6, S$4) - SUMIFS(   INDIRECT(CONCATENATE("offshore!",$D14,":", $D14)), offshore!$4:$4, S$4)</f>
        <v>171</v>
      </c>
      <c r="T14" s="48">
        <f ca="1">SUMIFS(  INDIRECT(CONCATENATE("'wind'!", $C14, ":", $C14)),   wind!$6:$6, T$4) - SUMIFS(   INDIRECT(CONCATENATE("offshore!",$D14,":", $D14)), offshore!$4:$4, T$4)</f>
        <v>262</v>
      </c>
      <c r="U14" s="48">
        <f ca="1">SUMIFS(  INDIRECT(CONCATENATE("'wind'!", $C14, ":", $C14)),   wind!$6:$6, U$4) - SUMIFS(   INDIRECT(CONCATENATE("offshore!",$D14,":", $D14)), offshore!$4:$4, U$4)</f>
        <v>422</v>
      </c>
      <c r="V14" s="48">
        <f ca="1">SUMIFS(  INDIRECT(CONCATENATE("'wind'!", $C14, ":", $C14)),   wind!$6:$6, V$4) - SUMIFS(   INDIRECT(CONCATENATE("offshore!",$D14,":", $D14)), offshore!$4:$4, V$4)</f>
        <v>599</v>
      </c>
      <c r="W14" s="48">
        <f ca="1">SUMIFS(  INDIRECT(CONCATENATE("'wind'!", $C14, ":", $C14)),   wind!$6:$6, W$4) - SUMIFS(   INDIRECT(CONCATENATE("offshore!",$D14,":", $D14)), offshore!$4:$4, W$4)</f>
        <v>977</v>
      </c>
      <c r="X14" s="48">
        <f ca="1">SUMIFS(  INDIRECT(CONCATENATE("'wind'!", $C14, ":", $C14)),   wind!$6:$6, X$4) - SUMIFS(   INDIRECT(CONCATENATE("offshore!",$D14,":", $D14)), offshore!$4:$4, X$4)</f>
        <v>1501</v>
      </c>
      <c r="Y14" s="48">
        <f ca="1">SUMIFS(  INDIRECT(CONCATENATE("'wind'!", $C14, ":", $C14)),   wind!$6:$6, Y$4) - SUMIFS(   INDIRECT(CONCATENATE("offshore!",$D14,":", $D14)), offshore!$4:$4, Y$4)</f>
        <v>2040.3</v>
      </c>
      <c r="Z14" s="48">
        <f ca="1">SUMIFS(  INDIRECT(CONCATENATE("'wind'!", $C14, ":", $C14)),   wind!$6:$6, Z$4) - SUMIFS(   INDIRECT(CONCATENATE("offshore!",$D14,":", $D14)), offshore!$4:$4, Z$4)</f>
        <v>1968.3</v>
      </c>
      <c r="AA14" s="48">
        <f ca="1">SUMIFS(  INDIRECT(CONCATENATE("'wind'!", $C14, ":", $C14)),   wind!$6:$6, AA$4) - SUMIFS(   INDIRECT(CONCATENATE("offshore!",$D14,":", $D14)), offshore!$4:$4, AA$4)</f>
        <v>2211.3000000000002</v>
      </c>
      <c r="AB14" s="48">
        <f ca="1">SUMIFS(  INDIRECT(CONCATENATE("'wind'!", $C14, ":", $C14)),   wind!$6:$6, AB$4) - SUMIFS(   INDIRECT(CONCATENATE("offshore!",$D14,":", $D14)), offshore!$4:$4, AB$4)</f>
        <v>2513</v>
      </c>
      <c r="AC14" s="48">
        <f ca="1">SUMIFS(  INDIRECT(CONCATENATE("'wind'!", $C14, ":", $C14)),   wind!$6:$6, AC$4) - SUMIFS(   INDIRECT(CONCATENATE("offshore!",$D14,":", $D14)), offshore!$4:$4, AC$4)</f>
        <v>3255</v>
      </c>
      <c r="AD14" s="48">
        <f ca="1">SUMIFS(  INDIRECT(CONCATENATE("'wind'!", $C14, ":", $C14)),   wind!$6:$6, AD$4) - SUMIFS(   INDIRECT(CONCATENATE("offshore!",$D14,":", $D14)), offshore!$4:$4, AD$4)</f>
        <v>5605</v>
      </c>
      <c r="AE14" s="48">
        <f ca="1">SUMIFS(  INDIRECT(CONCATENATE("'wind'!", $C14, ":", $C14)),   wind!$6:$6, AE$4) - SUMIFS(   INDIRECT(CONCATENATE("offshore!",$D14,":", $D14)), offshore!$4:$4, AE$4)</f>
        <v>6870</v>
      </c>
      <c r="AF14" s="48">
        <f ca="1">SUMIFS(  INDIRECT(CONCATENATE("'wind'!", $C14, ":", $C14)),   wind!$6:$6, AF$4) - SUMIFS(   INDIRECT(CONCATENATE("offshore!",$D14,":", $D14)), 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wind!$C:$C, 0)</f>
        <v>17</v>
      </c>
      <c r="D15" s="20">
        <f>IFERROR(MATCH($E15, offshore!$D:$D, 0), 1)</f>
        <v>7</v>
      </c>
      <c r="E15" s="17" t="s">
        <v>74</v>
      </c>
      <c r="F15" s="48">
        <f ca="1">SUMIFS(  INDIRECT(CONCATENATE("'wind'!", $C15, ":", $C15)),   wind!$6:$6, F$4) - SUMIFS(   INDIRECT(CONCATENATE("offshore!",$D15,":", $D15)), offshore!$4:$4, F$4)</f>
        <v>1443</v>
      </c>
      <c r="G15" s="48">
        <f ca="1">SUMIFS(  INDIRECT(CONCATENATE("'wind'!", $C15, ":", $C15)),   wind!$6:$6, G$4) - SUMIFS(   INDIRECT(CONCATENATE("offshore!",$D15,":", $D15)), offshore!$4:$4, G$4)</f>
        <v>1771</v>
      </c>
      <c r="H15" s="48">
        <f ca="1">SUMIFS(  INDIRECT(CONCATENATE("'wind'!", $C15, ":", $C15)),   wind!$6:$6, H$4) - SUMIFS(   INDIRECT(CONCATENATE("offshore!",$D15,":", $D15)), offshore!$4:$4, H$4)</f>
        <v>2417</v>
      </c>
      <c r="I15" s="48">
        <f ca="1">SUMIFS(  INDIRECT(CONCATENATE("'wind'!", $C15, ":", $C15)),   wind!$6:$6, I$4) - SUMIFS(   INDIRECT(CONCATENATE("offshore!",$D15,":", $D15)), offshore!$4:$4, I$4)</f>
        <v>2489</v>
      </c>
      <c r="J15" s="48">
        <f ca="1">SUMIFS(  INDIRECT(CONCATENATE("'wind'!", $C15, ":", $C15)),   wind!$6:$6, J$4) - SUMIFS(   INDIRECT(CONCATENATE("offshore!",$D15,":", $D15)), offshore!$4:$4, J$4)</f>
        <v>2889</v>
      </c>
      <c r="K15" s="48">
        <f ca="1">SUMIFS(  INDIRECT(CONCATENATE("'wind'!", $C15, ":", $C15)),   wind!$6:$6, K$4) - SUMIFS(   INDIRECT(CONCATENATE("offshore!",$D15,":", $D15)), offshore!$4:$4, K$4)</f>
        <v>3116</v>
      </c>
      <c r="L15" s="48">
        <f ca="1">SUMIFS(  INDIRECT(CONCATENATE("'wind'!", $C15, ":", $C15)),   wind!$6:$6, L$4) - SUMIFS(   INDIRECT(CONCATENATE("offshore!",$D15,":", $D15)), offshore!$4:$4, L$4)</f>
        <v>3118</v>
      </c>
      <c r="M15" s="48">
        <f ca="1">SUMIFS(  INDIRECT(CONCATENATE("'wind'!", $C15, ":", $C15)),   wind!$6:$6, M$4) - SUMIFS(   INDIRECT(CONCATENATE("offshore!",$D15,":", $D15)), offshore!$4:$4, M$4)</f>
        <v>3128</v>
      </c>
      <c r="N15" s="48">
        <f ca="1">SUMIFS(  INDIRECT(CONCATENATE("'wind'!", $C15, ":", $C15)),   wind!$6:$6, N$4) - SUMIFS(   INDIRECT(CONCATENATE("offshore!",$D15,":", $D15)), offshore!$4:$4, N$4)</f>
        <v>3136</v>
      </c>
      <c r="O15" s="48">
        <f ca="1">SUMIFS(  INDIRECT(CONCATENATE("'wind'!", $C15, ":", $C15)),   wind!$6:$6, O$4) - SUMIFS(   INDIRECT(CONCATENATE("offshore!",$D15,":", $D15)), offshore!$4:$4, O$4)</f>
        <v>3125</v>
      </c>
      <c r="P15" s="48">
        <f ca="1">SUMIFS(  INDIRECT(CONCATENATE("'wind'!", $C15, ":", $C15)),   wind!$6:$6, P$4) - SUMIFS(   INDIRECT(CONCATENATE("offshore!",$D15,":", $D15)), offshore!$4:$4, P$4)</f>
        <v>2739.6</v>
      </c>
      <c r="Q15" s="48">
        <f ca="1">SUMIFS(  INDIRECT(CONCATENATE("'wind'!", $C15, ":", $C15)),   wind!$6:$6, Q$4) - SUMIFS(   INDIRECT(CONCATENATE("offshore!",$D15,":", $D15)), offshore!$4:$4, Q$4)</f>
        <v>2801.1</v>
      </c>
      <c r="R15" s="48">
        <f ca="1">SUMIFS(  INDIRECT(CONCATENATE("'wind'!", $C15, ":", $C15)),   wind!$6:$6, R$4) - SUMIFS(   INDIRECT(CONCATENATE("offshore!",$D15,":", $D15)), offshore!$4:$4, R$4)</f>
        <v>2884.1</v>
      </c>
      <c r="S15" s="48">
        <f ca="1">SUMIFS(  INDIRECT(CONCATENATE("'wind'!", $C15, ":", $C15)),   wind!$6:$6, S$4) - SUMIFS(   INDIRECT(CONCATENATE("offshore!",$D15,":", $D15)), offshore!$4:$4, S$4)</f>
        <v>2999.5</v>
      </c>
      <c r="T15" s="48">
        <f ca="1">SUMIFS(  INDIRECT(CONCATENATE("'wind'!", $C15, ":", $C15)),   wind!$6:$6, T$4) - SUMIFS(   INDIRECT(CONCATENATE("offshore!",$D15,":", $D15)), offshore!$4:$4, T$4)</f>
        <v>3240.1</v>
      </c>
      <c r="U15" s="48">
        <f ca="1">SUMIFS(  INDIRECT(CONCATENATE("'wind'!", $C15, ":", $C15)),   wind!$6:$6, U$4) - SUMIFS(   INDIRECT(CONCATENATE("offshore!",$D15,":", $D15)), offshore!$4:$4, U$4)</f>
        <v>3500.9</v>
      </c>
      <c r="V15" s="48">
        <f ca="1">SUMIFS(  INDIRECT(CONCATENATE("'wind'!", $C15, ":", $C15)),   wind!$6:$6, V$4) - SUMIFS(   INDIRECT(CONCATENATE("offshore!",$D15,":", $D15)), offshore!$4:$4, V$4)</f>
        <v>3573.9</v>
      </c>
      <c r="W15" s="48">
        <f ca="1">SUMIFS(  INDIRECT(CONCATENATE("'wind'!", $C15, ":", $C15)),   wind!$6:$6, W$4) - SUMIFS(   INDIRECT(CONCATENATE("offshore!",$D15,":", $D15)), offshore!$4:$4, W$4)</f>
        <v>3803.9</v>
      </c>
      <c r="X15" s="48">
        <f ca="1">SUMIFS(  INDIRECT(CONCATENATE("'wind'!", $C15, ":", $C15)),   wind!$6:$6, X$4) - SUMIFS(   INDIRECT(CONCATENATE("offshore!",$D15,":", $D15)), offshore!$4:$4, X$4)</f>
        <v>3970.9</v>
      </c>
      <c r="Y15" s="48">
        <f ca="1">SUMIFS(  INDIRECT(CONCATENATE("'wind'!", $C15, ":", $C15)),   wind!$6:$6, Y$4) - SUMIFS(   INDIRECT(CONCATENATE("offshore!",$D15,":", $D15)), offshore!$4:$4, Y$4)</f>
        <v>4184.2</v>
      </c>
      <c r="Z15" s="48">
        <f ca="1">SUMIFS(  INDIRECT(CONCATENATE("'wind'!", $C15, ":", $C15)),   wind!$6:$6, Z$4) - SUMIFS(   INDIRECT(CONCATENATE("offshore!",$D15,":", $D15)), offshore!$4:$4, Z$4)</f>
        <v>4057.2</v>
      </c>
      <c r="AA15" s="48">
        <f ca="1">SUMIFS(  INDIRECT(CONCATENATE("'wind'!", $C15, ":", $C15)),   wind!$6:$6, AA$4) - SUMIFS(   INDIRECT(CONCATENATE("offshore!",$D15,":", $D15)), offshore!$4:$4, AA$4)</f>
        <v>4427.2</v>
      </c>
      <c r="AB15" s="48">
        <f ca="1">SUMIFS(  INDIRECT(CONCATENATE("'wind'!", $C15, ":", $C15)),   wind!$6:$6, AB$4) - SUMIFS(   INDIRECT(CONCATENATE("offshore!",$D15,":", $D15)), offshore!$4:$4, AB$4)</f>
        <v>4479.2</v>
      </c>
      <c r="AC15" s="48">
        <f ca="1">SUMIFS(  INDIRECT(CONCATENATE("'wind'!", $C15, ":", $C15)),   wind!$6:$6, AC$4) - SUMIFS(   INDIRECT(CONCATENATE("offshore!",$D15,":", $D15)), offshore!$4:$4, AC$4)</f>
        <v>4872.3999999999996</v>
      </c>
      <c r="AD15" s="48">
        <f ca="1">SUMIFS(  INDIRECT(CONCATENATE("'wind'!", $C15, ":", $C15)),   wind!$6:$6, AD$4) - SUMIFS(   INDIRECT(CONCATENATE("offshore!",$D15,":", $D15)), offshore!$4:$4, AD$4)</f>
        <v>4976.3999999999996</v>
      </c>
      <c r="AE15" s="48">
        <f ca="1">SUMIFS(  INDIRECT(CONCATENATE("'wind'!", $C15, ":", $C15)),   wind!$6:$6, AE$4) - SUMIFS(   INDIRECT(CONCATENATE("offshore!",$D15,":", $D15)), offshore!$4:$4, AE$4)</f>
        <v>5094.8999999999996</v>
      </c>
      <c r="AF15" s="48">
        <f ca="1">SUMIFS(  INDIRECT(CONCATENATE("'wind'!", $C15, ":", $C15)),   wind!$6:$6, AF$4) - SUMIFS(   INDIRECT(CONCATENATE("offshore!",$D15,":", $D15)), 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wind!$C:$C, 0)</f>
        <v>18</v>
      </c>
      <c r="D16" s="20">
        <f>IFERROR(MATCH($E16, offshore!$D:$D, 0), 1)</f>
        <v>14</v>
      </c>
      <c r="E16" s="17" t="s">
        <v>75</v>
      </c>
      <c r="F16" s="48">
        <f ca="1">SUMIFS(  INDIRECT(CONCATENATE("'wind'!", $C16, ":", $C16)),   wind!$6:$6, F$4) - SUMIFS(   INDIRECT(CONCATENATE("offshore!",$D16,":", $D16)), offshore!$4:$4, F$4)</f>
        <v>60</v>
      </c>
      <c r="G16" s="48">
        <f ca="1">SUMIFS(  INDIRECT(CONCATENATE("'wind'!", $C16, ":", $C16)),   wind!$6:$6, G$4) - SUMIFS(   INDIRECT(CONCATENATE("offshore!",$D16,":", $D16)), offshore!$4:$4, G$4)</f>
        <v>61</v>
      </c>
      <c r="H16" s="48">
        <f ca="1">SUMIFS(  INDIRECT(CONCATENATE("'wind'!", $C16, ":", $C16)),   wind!$6:$6, H$4) - SUMIFS(   INDIRECT(CONCATENATE("offshore!",$D16,":", $D16)), offshore!$4:$4, H$4)</f>
        <v>100</v>
      </c>
      <c r="I16" s="48">
        <f ca="1">SUMIFS(  INDIRECT(CONCATENATE("'wind'!", $C16, ":", $C16)),   wind!$6:$6, I$4) - SUMIFS(   INDIRECT(CONCATENATE("offshore!",$D16,":", $D16)), offshore!$4:$4, I$4)</f>
        <v>131</v>
      </c>
      <c r="J16" s="48">
        <f ca="1">SUMIFS(  INDIRECT(CONCATENATE("'wind'!", $C16, ":", $C16)),   wind!$6:$6, J$4) - SUMIFS(   INDIRECT(CONCATENATE("offshore!",$D16,":", $D16)), offshore!$4:$4, J$4)</f>
        <v>195</v>
      </c>
      <c r="K16" s="48">
        <f ca="1">SUMIFS(  INDIRECT(CONCATENATE("'wind'!", $C16, ":", $C16)),   wind!$6:$6, K$4) - SUMIFS(   INDIRECT(CONCATENATE("offshore!",$D16,":", $D16)), offshore!$4:$4, K$4)</f>
        <v>296</v>
      </c>
      <c r="L16" s="48">
        <f ca="1">SUMIFS(  INDIRECT(CONCATENATE("'wind'!", $C16, ":", $C16)),   wind!$6:$6, L$4) - SUMIFS(   INDIRECT(CONCATENATE("offshore!",$D16,":", $D16)), offshore!$4:$4, L$4)</f>
        <v>522</v>
      </c>
      <c r="M16" s="48">
        <f ca="1">SUMIFS(  INDIRECT(CONCATENATE("'wind'!", $C16, ":", $C16)),   wind!$6:$6, M$4) - SUMIFS(   INDIRECT(CONCATENATE("offshore!",$D16,":", $D16)), offshore!$4:$4, M$4)</f>
        <v>1022</v>
      </c>
      <c r="N16" s="48">
        <f ca="1">SUMIFS(  INDIRECT(CONCATENATE("'wind'!", $C16, ":", $C16)),   wind!$6:$6, N$4) - SUMIFS(   INDIRECT(CONCATENATE("offshore!",$D16,":", $D16)), offshore!$4:$4, N$4)</f>
        <v>1716</v>
      </c>
      <c r="O16" s="48">
        <f ca="1">SUMIFS(  INDIRECT(CONCATENATE("'wind'!", $C16, ":", $C16)),   wind!$6:$6, O$4) - SUMIFS(   INDIRECT(CONCATENATE("offshore!",$D16,":", $D16)), offshore!$4:$4, O$4)</f>
        <v>2150</v>
      </c>
      <c r="P16" s="48">
        <f ca="1">SUMIFS(  INDIRECT(CONCATENATE("'wind'!", $C16, ":", $C16)),   wind!$6:$6, P$4) - SUMIFS(   INDIRECT(CONCATENATE("offshore!",$D16,":", $D16)), offshore!$4:$4, P$4)</f>
        <v>2862</v>
      </c>
      <c r="Q16" s="48">
        <f ca="1">SUMIFS(  INDIRECT(CONCATENATE("'wind'!", $C16, ":", $C16)),   wind!$6:$6, Q$4) - SUMIFS(   INDIRECT(CONCATENATE("offshore!",$D16,":", $D16)), offshore!$4:$4, Q$4)</f>
        <v>3535</v>
      </c>
      <c r="R16" s="48">
        <f ca="1">SUMIFS(  INDIRECT(CONCATENATE("'wind'!", $C16, ":", $C16)),   wind!$6:$6, R$4) - SUMIFS(   INDIRECT(CONCATENATE("offshore!",$D16,":", $D16)), offshore!$4:$4, R$4)</f>
        <v>3898</v>
      </c>
      <c r="S16" s="48">
        <f ca="1">SUMIFS(  INDIRECT(CONCATENATE("'wind'!", $C16, ":", $C16)),   wind!$6:$6, S$4) - SUMIFS(   INDIRECT(CONCATENATE("offshore!",$D16,":", $D16)), offshore!$4:$4, S$4)</f>
        <v>4081</v>
      </c>
      <c r="T16" s="48">
        <f ca="1">SUMIFS(  INDIRECT(CONCATENATE("'wind'!", $C16, ":", $C16)),   wind!$6:$6, T$4) - SUMIFS(   INDIRECT(CONCATENATE("offshore!",$D16,":", $D16)), offshore!$4:$4, T$4)</f>
        <v>4523</v>
      </c>
      <c r="U16" s="48">
        <f ca="1">SUMIFS(  INDIRECT(CONCATENATE("'wind'!", $C16, ":", $C16)),   wind!$6:$6, U$4) - SUMIFS(   INDIRECT(CONCATENATE("offshore!",$D16,":", $D16)), offshore!$4:$4, U$4)</f>
        <v>4722</v>
      </c>
      <c r="V16" s="48">
        <f ca="1">SUMIFS(  INDIRECT(CONCATENATE("'wind'!", $C16, ":", $C16)),   wind!$6:$6, V$4) - SUMIFS(   INDIRECT(CONCATENATE("offshore!",$D16,":", $D16)), offshore!$4:$4, V$4)</f>
        <v>4912</v>
      </c>
      <c r="W16" s="48">
        <f ca="1">SUMIFS(  INDIRECT(CONCATENATE("'wind'!", $C16, ":", $C16)),   wind!$6:$6, W$4) - SUMIFS(   INDIRECT(CONCATENATE("offshore!",$D16,":", $D16)), offshore!$4:$4, W$4)</f>
        <v>5032</v>
      </c>
      <c r="X16" s="48">
        <f ca="1">SUMIFS(  INDIRECT(CONCATENATE("'wind'!", $C16, ":", $C16)),   wind!$6:$6, X$4) - SUMIFS(   INDIRECT(CONCATENATE("offshore!",$D16,":", $D16)), offshore!$4:$4, X$4)</f>
        <v>5267</v>
      </c>
      <c r="Y16" s="48">
        <f ca="1">SUMIFS(  INDIRECT(CONCATENATE("'wind'!", $C16, ":", $C16)),   wind!$6:$6, Y$4) - SUMIFS(   INDIRECT(CONCATENATE("offshore!",$D16,":", $D16)), offshore!$4:$4, Y$4)</f>
        <v>5307.6</v>
      </c>
      <c r="Z16" s="48">
        <f ca="1">SUMIFS(  INDIRECT(CONCATENATE("'wind'!", $C16, ":", $C16)),   wind!$6:$6, Z$4) - SUMIFS(   INDIRECT(CONCATENATE("offshore!",$D16,":", $D16)), offshore!$4:$4, Z$4)</f>
        <v>5371.6</v>
      </c>
      <c r="AA16" s="48">
        <f ca="1">SUMIFS(  INDIRECT(CONCATENATE("'wind'!", $C16, ":", $C16)),   wind!$6:$6, AA$4) - SUMIFS(   INDIRECT(CONCATENATE("offshore!",$D16,":", $D16)), offshore!$4:$4, AA$4)</f>
        <v>5428.6</v>
      </c>
      <c r="AB16" s="48">
        <f ca="1">SUMIFS(  INDIRECT(CONCATENATE("'wind'!", $C16, ":", $C16)),   wind!$6:$6, AB$4) - SUMIFS(   INDIRECT(CONCATENATE("offshore!",$D16,":", $D16)), offshore!$4:$4, AB$4)</f>
        <v>5461</v>
      </c>
      <c r="AC16" s="48">
        <f ca="1">SUMIFS(  INDIRECT(CONCATENATE("'wind'!", $C16, ":", $C16)),   wind!$6:$6, AC$4) - SUMIFS(   INDIRECT(CONCATENATE("offshore!",$D16,":", $D16)), offshore!$4:$4, AC$4)</f>
        <v>5587</v>
      </c>
      <c r="AD16" s="48">
        <f ca="1">SUMIFS(  INDIRECT(CONCATENATE("'wind'!", $C16, ":", $C16)),   wind!$6:$6, AD$4) - SUMIFS(   INDIRECT(CONCATENATE("offshore!",$D16,":", $D16)), offshore!$4:$4, AD$4)</f>
        <v>5671</v>
      </c>
      <c r="AE16" s="48">
        <f ca="1">SUMIFS(  INDIRECT(CONCATENATE("'wind'!", $C16, ":", $C16)),   wind!$6:$6, AE$4) - SUMIFS(   INDIRECT(CONCATENATE("offshore!",$D16,":", $D16)), offshore!$4:$4, AE$4)</f>
        <v>5809</v>
      </c>
      <c r="AF16" s="48">
        <f ca="1">SUMIFS(  INDIRECT(CONCATENATE("'wind'!", $C16, ":", $C16)),   wind!$6:$6, AF$4) - SUMIFS(   INDIRECT(CONCATENATE("offshore!",$D16,":", $D16)), 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wind!$C:$C, 0)</f>
        <v>19</v>
      </c>
      <c r="D17" s="20">
        <f>IFERROR(MATCH($E17, offshore!$D:$D, 0), 1)</f>
        <v>9</v>
      </c>
      <c r="E17" s="17" t="s">
        <v>76</v>
      </c>
      <c r="F17" s="48">
        <f ca="1">SUMIFS(  INDIRECT(CONCATENATE("'wind'!", $C17, ":", $C17)),   wind!$6:$6, F$4) - SUMIFS(   INDIRECT(CONCATENATE("offshore!",$D17,":", $D17)), offshore!$4:$4, F$4)</f>
        <v>6</v>
      </c>
      <c r="G17" s="48">
        <f ca="1">SUMIFS(  INDIRECT(CONCATENATE("'wind'!", $C17, ":", $C17)),   wind!$6:$6, G$4) - SUMIFS(   INDIRECT(CONCATENATE("offshore!",$D17,":", $D17)), offshore!$4:$4, G$4)</f>
        <v>6</v>
      </c>
      <c r="H17" s="48">
        <f ca="1">SUMIFS(  INDIRECT(CONCATENATE("'wind'!", $C17, ":", $C17)),   wind!$6:$6, H$4) - SUMIFS(   INDIRECT(CONCATENATE("offshore!",$D17,":", $D17)), offshore!$4:$4, H$4)</f>
        <v>13</v>
      </c>
      <c r="I17" s="48">
        <f ca="1">SUMIFS(  INDIRECT(CONCATENATE("'wind'!", $C17, ":", $C17)),   wind!$6:$6, I$4) - SUMIFS(   INDIRECT(CONCATENATE("offshore!",$D17,":", $D17)), offshore!$4:$4, I$4)</f>
        <v>32</v>
      </c>
      <c r="J17" s="48">
        <f ca="1">SUMIFS(  INDIRECT(CONCATENATE("'wind'!", $C17, ":", $C17)),   wind!$6:$6, J$4) - SUMIFS(   INDIRECT(CONCATENATE("offshore!",$D17,":", $D17)), offshore!$4:$4, J$4)</f>
        <v>35</v>
      </c>
      <c r="K17" s="48">
        <f ca="1">SUMIFS(  INDIRECT(CONCATENATE("'wind'!", $C17, ":", $C17)),   wind!$6:$6, K$4) - SUMIFS(   INDIRECT(CONCATENATE("offshore!",$D17,":", $D17)), offshore!$4:$4, K$4)</f>
        <v>68</v>
      </c>
      <c r="L17" s="48">
        <f ca="1">SUMIFS(  INDIRECT(CONCATENATE("'wind'!", $C17, ":", $C17)),   wind!$6:$6, L$4) - SUMIFS(   INDIRECT(CONCATENATE("offshore!",$D17,":", $D17)), offshore!$4:$4, L$4)</f>
        <v>96</v>
      </c>
      <c r="M17" s="48">
        <f ca="1">SUMIFS(  INDIRECT(CONCATENATE("'wind'!", $C17, ":", $C17)),   wind!$6:$6, M$4) - SUMIFS(   INDIRECT(CONCATENATE("offshore!",$D17,":", $D17)), offshore!$4:$4, M$4)</f>
        <v>167</v>
      </c>
      <c r="N17" s="48">
        <f ca="1">SUMIFS(  INDIRECT(CONCATENATE("'wind'!", $C17, ":", $C17)),   wind!$6:$6, N$4) - SUMIFS(   INDIRECT(CONCATENATE("offshore!",$D17,":", $D17)), offshore!$4:$4, N$4)</f>
        <v>194</v>
      </c>
      <c r="O17" s="48">
        <f ca="1">SUMIFS(  INDIRECT(CONCATENATE("'wind'!", $C17, ":", $C17)),   wind!$6:$6, O$4) - SUMIFS(   INDIRECT(CONCATENATE("offshore!",$D17,":", $D17)), offshore!$4:$4, O$4)</f>
        <v>287</v>
      </c>
      <c r="P17" s="48">
        <f ca="1">SUMIFS(  INDIRECT(CONCATENATE("'wind'!", $C17, ":", $C17)),   wind!$6:$6, P$4) - SUMIFS(   INDIRECT(CONCATENATE("offshore!",$D17,":", $D17)), offshore!$4:$4, P$4)</f>
        <v>385</v>
      </c>
      <c r="Q17" s="48">
        <f ca="1">SUMIFS(  INDIRECT(CONCATENATE("'wind'!", $C17, ":", $C17)),   wind!$6:$6, Q$4) - SUMIFS(   INDIRECT(CONCATENATE("offshore!",$D17,":", $D17)), offshore!$4:$4, Q$4)</f>
        <v>533</v>
      </c>
      <c r="R17" s="48">
        <f ca="1">SUMIFS(  INDIRECT(CONCATENATE("'wind'!", $C17, ":", $C17)),   wind!$6:$6, R$4) - SUMIFS(   INDIRECT(CONCATENATE("offshore!",$D17,":", $D17)), offshore!$4:$4, R$4)</f>
        <v>716</v>
      </c>
      <c r="S17" s="48">
        <f ca="1">SUMIFS(  INDIRECT(CONCATENATE("'wind'!", $C17, ":", $C17)),   wind!$6:$6, S$4) - SUMIFS(   INDIRECT(CONCATENATE("offshore!",$D17,":", $D17)), offshore!$4:$4, S$4)</f>
        <v>883</v>
      </c>
      <c r="T17" s="48">
        <f ca="1">SUMIFS(  INDIRECT(CONCATENATE("'wind'!", $C17, ":", $C17)),   wind!$6:$6, T$4) - SUMIFS(   INDIRECT(CONCATENATE("offshore!",$D17,":", $D17)), offshore!$4:$4, T$4)</f>
        <v>995.5</v>
      </c>
      <c r="U17" s="48">
        <f ca="1">SUMIFS(  INDIRECT(CONCATENATE("'wind'!", $C17, ":", $C17)),   wind!$6:$6, U$4) - SUMIFS(   INDIRECT(CONCATENATE("offshore!",$D17,":", $D17)), offshore!$4:$4, U$4)</f>
        <v>1025.8</v>
      </c>
      <c r="V17" s="48">
        <f ca="1">SUMIFS(  INDIRECT(CONCATENATE("'wind'!", $C17, ":", $C17)),   wind!$6:$6, V$4) - SUMIFS(   INDIRECT(CONCATENATE("offshore!",$D17,":", $D17)), offshore!$4:$4, V$4)</f>
        <v>1246.8</v>
      </c>
      <c r="W17" s="48">
        <f ca="1">SUMIFS(  INDIRECT(CONCATENATE("'wind'!", $C17, ":", $C17)),   wind!$6:$6, W$4) - SUMIFS(   INDIRECT(CONCATENATE("offshore!",$D17,":", $D17)), offshore!$4:$4, W$4)</f>
        <v>1456.8</v>
      </c>
      <c r="X17" s="48">
        <f ca="1">SUMIFS(  INDIRECT(CONCATENATE("'wind'!", $C17, ":", $C17)),   wind!$6:$6, X$4) - SUMIFS(   INDIRECT(CONCATENATE("offshore!",$D17,":", $D17)), offshore!$4:$4, X$4)</f>
        <v>1687.8</v>
      </c>
      <c r="Y17" s="48">
        <f ca="1">SUMIFS(  INDIRECT(CONCATENATE("'wind'!", $C17, ":", $C17)),   wind!$6:$6, Y$4) - SUMIFS(   INDIRECT(CONCATENATE("offshore!",$D17,":", $D17)), offshore!$4:$4, Y$4)</f>
        <v>1966</v>
      </c>
      <c r="Z17" s="48">
        <f ca="1">SUMIFS(  INDIRECT(CONCATENATE("'wind'!", $C17, ":", $C17)),   wind!$6:$6, Z$4) - SUMIFS(   INDIRECT(CONCATENATE("offshore!",$D17,":", $D17)), offshore!$4:$4, Z$4)</f>
        <v>2174.1</v>
      </c>
      <c r="AA17" s="48">
        <f ca="1">SUMIFS(  INDIRECT(CONCATENATE("'wind'!", $C17, ":", $C17)),   wind!$6:$6, AA$4) - SUMIFS(   INDIRECT(CONCATENATE("offshore!",$D17,":", $D17)), offshore!$4:$4, AA$4)</f>
        <v>2331</v>
      </c>
      <c r="AB17" s="48">
        <f ca="1">SUMIFS(  INDIRECT(CONCATENATE("'wind'!", $C17, ":", $C17)),   wind!$6:$6, AB$4) - SUMIFS(   INDIRECT(CONCATENATE("offshore!",$D17,":", $D17)), offshore!$4:$4, AB$4)</f>
        <v>2457.1999999999998</v>
      </c>
      <c r="AC17" s="48">
        <f ca="1">SUMIFS(  INDIRECT(CONCATENATE("'wind'!", $C17, ":", $C17)),   wind!$6:$6, AC$4) - SUMIFS(   INDIRECT(CONCATENATE("offshore!",$D17,":", $D17)), offshore!$4:$4, AC$4)</f>
        <v>2740.2</v>
      </c>
      <c r="AD17" s="48">
        <f ca="1">SUMIFS(  INDIRECT(CONCATENATE("'wind'!", $C17, ":", $C17)),   wind!$6:$6, AD$4) - SUMIFS(   INDIRECT(CONCATENATE("offshore!",$D17,":", $D17)), offshore!$4:$4, AD$4)</f>
        <v>3044.2</v>
      </c>
      <c r="AE17" s="48">
        <f ca="1">SUMIFS(  INDIRECT(CONCATENATE("'wind'!", $C17, ":", $C17)),   wind!$6:$6, AE$4) - SUMIFS(   INDIRECT(CONCATENATE("offshore!",$D17,":", $D17)), offshore!$4:$4, AE$4)</f>
        <v>3230.2</v>
      </c>
      <c r="AF17" s="48">
        <f ca="1">SUMIFS(  INDIRECT(CONCATENATE("'wind'!", $C17, ":", $C17)),   wind!$6:$6, AF$4) - SUMIFS(   INDIRECT(CONCATENATE("offshore!",$D17,":", $D17)), 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wind!$C:$C, 0)</f>
        <v>20</v>
      </c>
      <c r="D18" s="20">
        <f>IFERROR(MATCH($E18, offshore!$D:$D, 0), 1)</f>
        <v>1</v>
      </c>
      <c r="E18" s="17" t="s">
        <v>77</v>
      </c>
      <c r="F18" s="48">
        <f ca="1">SUMIFS(  INDIRECT(CONCATENATE("'wind'!", $C18, ":", $C18)),   wind!$6:$6, F$4) - SUMIFS(   INDIRECT(CONCATENATE("offshore!",$D18,":", $D18)), offshore!$4:$4, F$4)</f>
        <v>39</v>
      </c>
      <c r="G18" s="48">
        <f ca="1">SUMIFS(  INDIRECT(CONCATENATE("'wind'!", $C18, ":", $C18)),   wind!$6:$6, G$4) - SUMIFS(   INDIRECT(CONCATENATE("offshore!",$D18,":", $D18)), offshore!$4:$4, G$4)</f>
        <v>112</v>
      </c>
      <c r="H18" s="48">
        <f ca="1">SUMIFS(  INDIRECT(CONCATENATE("'wind'!", $C18, ":", $C18)),   wind!$6:$6, H$4) - SUMIFS(   INDIRECT(CONCATENATE("offshore!",$D18,":", $D18)), offshore!$4:$4, H$4)</f>
        <v>189</v>
      </c>
      <c r="I18" s="48">
        <f ca="1">SUMIFS(  INDIRECT(CONCATENATE("'wind'!", $C18, ":", $C18)),   wind!$6:$6, I$4) - SUMIFS(   INDIRECT(CONCATENATE("offshore!",$D18,":", $D18)), offshore!$4:$4, I$4)</f>
        <v>272</v>
      </c>
      <c r="J18" s="48">
        <f ca="1">SUMIFS(  INDIRECT(CONCATENATE("'wind'!", $C18, ":", $C18)),   wind!$6:$6, J$4) - SUMIFS(   INDIRECT(CONCATENATE("offshore!",$D18,":", $D18)), offshore!$4:$4, J$4)</f>
        <v>297</v>
      </c>
      <c r="K18" s="48">
        <f ca="1">SUMIFS(  INDIRECT(CONCATENATE("'wind'!", $C18, ":", $C18)),   wind!$6:$6, K$4) - SUMIFS(   INDIRECT(CONCATENATE("offshore!",$D18,":", $D18)), offshore!$4:$4, K$4)</f>
        <v>383</v>
      </c>
      <c r="L18" s="48">
        <f ca="1">SUMIFS(  INDIRECT(CONCATENATE("'wind'!", $C18, ":", $C18)),   wind!$6:$6, L$4) - SUMIFS(   INDIRECT(CONCATENATE("offshore!",$D18,":", $D18)), offshore!$4:$4, L$4)</f>
        <v>473</v>
      </c>
      <c r="M18" s="48">
        <f ca="1">SUMIFS(  INDIRECT(CONCATENATE("'wind'!", $C18, ":", $C18)),   wind!$6:$6, M$4) - SUMIFS(   INDIRECT(CONCATENATE("offshore!",$D18,":", $D18)), offshore!$4:$4, M$4)</f>
        <v>573</v>
      </c>
      <c r="N18" s="48">
        <f ca="1">SUMIFS(  INDIRECT(CONCATENATE("'wind'!", $C18, ":", $C18)),   wind!$6:$6, N$4) - SUMIFS(   INDIRECT(CONCATENATE("offshore!",$D18,":", $D18)), offshore!$4:$4, N$4)</f>
        <v>746</v>
      </c>
      <c r="O18" s="48">
        <f ca="1">SUMIFS(  INDIRECT(CONCATENATE("'wind'!", $C18, ":", $C18)),   wind!$6:$6, O$4) - SUMIFS(   INDIRECT(CONCATENATE("offshore!",$D18,":", $D18)), offshore!$4:$4, O$4)</f>
        <v>871</v>
      </c>
      <c r="P18" s="48">
        <f ca="1">SUMIFS(  INDIRECT(CONCATENATE("'wind'!", $C18, ":", $C18)),   wind!$6:$6, P$4) - SUMIFS(   INDIRECT(CONCATENATE("offshore!",$D18,":", $D18)), offshore!$4:$4, P$4)</f>
        <v>985</v>
      </c>
      <c r="Q18" s="48">
        <f ca="1">SUMIFS(  INDIRECT(CONCATENATE("'wind'!", $C18, ":", $C18)),   wind!$6:$6, Q$4) - SUMIFS(   INDIRECT(CONCATENATE("offshore!",$D18,":", $D18)), offshore!$4:$4, Q$4)</f>
        <v>1087</v>
      </c>
      <c r="R18" s="48">
        <f ca="1">SUMIFS(  INDIRECT(CONCATENATE("'wind'!", $C18, ":", $C18)),   wind!$6:$6, R$4) - SUMIFS(   INDIRECT(CONCATENATE("offshore!",$D18,":", $D18)), offshore!$4:$4, R$4)</f>
        <v>1208</v>
      </c>
      <c r="S18" s="48">
        <f ca="1">SUMIFS(  INDIRECT(CONCATENATE("'wind'!", $C18, ":", $C18)),   wind!$6:$6, S$4) - SUMIFS(   INDIRECT(CONCATENATE("offshore!",$D18,":", $D18)), offshore!$4:$4, S$4)</f>
        <v>1629</v>
      </c>
      <c r="T18" s="48">
        <f ca="1">SUMIFS(  INDIRECT(CONCATENATE("'wind'!", $C18, ":", $C18)),   wind!$6:$6, T$4) - SUMIFS(   INDIRECT(CONCATENATE("offshore!",$D18,":", $D18)), offshore!$4:$4, T$4)</f>
        <v>1749</v>
      </c>
      <c r="U18" s="48">
        <f ca="1">SUMIFS(  INDIRECT(CONCATENATE("'wind'!", $C18, ":", $C18)),   wind!$6:$6, U$4) - SUMIFS(   INDIRECT(CONCATENATE("offshore!",$D18,":", $D18)), offshore!$4:$4, U$4)</f>
        <v>1865</v>
      </c>
      <c r="V18" s="48">
        <f ca="1">SUMIFS(  INDIRECT(CONCATENATE("'wind'!", $C18, ":", $C18)),   wind!$6:$6, V$4) - SUMIFS(   INDIRECT(CONCATENATE("offshore!",$D18,":", $D18)), offshore!$4:$4, V$4)</f>
        <v>1980</v>
      </c>
      <c r="W18" s="48">
        <f ca="1">SUMIFS(  INDIRECT(CONCATENATE("'wind'!", $C18, ":", $C18)),   wind!$6:$6, W$4) - SUMIFS(   INDIRECT(CONCATENATE("offshore!",$D18,":", $D18)), offshore!$4:$4, W$4)</f>
        <v>2136</v>
      </c>
      <c r="X18" s="48">
        <f ca="1">SUMIFS(  INDIRECT(CONCATENATE("'wind'!", $C18, ":", $C18)),   wind!$6:$6, X$4) - SUMIFS(   INDIRECT(CONCATENATE("offshore!",$D18,":", $D18)), offshore!$4:$4, X$4)</f>
        <v>2374</v>
      </c>
      <c r="Y18" s="48">
        <f ca="1">SUMIFS(  INDIRECT(CONCATENATE("'wind'!", $C18, ":", $C18)),   wind!$6:$6, Y$4) - SUMIFS(   INDIRECT(CONCATENATE("offshore!",$D18,":", $D18)), offshore!$4:$4, Y$4)</f>
        <v>2651</v>
      </c>
      <c r="Z18" s="48">
        <f ca="1">SUMIFS(  INDIRECT(CONCATENATE("'wind'!", $C18, ":", $C18)),   wind!$6:$6, Z$4) - SUMIFS(   INDIRECT(CONCATENATE("offshore!",$D18,":", $D18)), offshore!$4:$4, Z$4)</f>
        <v>2844</v>
      </c>
      <c r="AA18" s="48">
        <f ca="1">SUMIFS(  INDIRECT(CONCATENATE("'wind'!", $C18, ":", $C18)),   wind!$6:$6, AA$4) - SUMIFS(   INDIRECT(CONCATENATE("offshore!",$D18,":", $D18)), offshore!$4:$4, AA$4)</f>
        <v>3576</v>
      </c>
      <c r="AB18" s="48">
        <f ca="1">SUMIFS(  INDIRECT(CONCATENATE("'wind'!", $C18, ":", $C18)),   wind!$6:$6, AB$4) - SUMIFS(   INDIRECT(CONCATENATE("offshore!",$D18,":", $D18)), offshore!$4:$4, AB$4)</f>
        <v>4113</v>
      </c>
      <c r="AC18" s="48">
        <f ca="1">SUMIFS(  INDIRECT(CONCATENATE("'wind'!", $C18, ":", $C18)),   wind!$6:$6, AC$4) - SUMIFS(   INDIRECT(CONCATENATE("offshore!",$D18,":", $D18)), offshore!$4:$4, AC$4)</f>
        <v>4452</v>
      </c>
      <c r="AD18" s="48">
        <f ca="1">SUMIFS(  INDIRECT(CONCATENATE("'wind'!", $C18, ":", $C18)),   wind!$6:$6, AD$4) - SUMIFS(   INDIRECT(CONCATENATE("offshore!",$D18,":", $D18)), offshore!$4:$4, AD$4)</f>
        <v>4682</v>
      </c>
      <c r="AE18" s="48">
        <f ca="1">SUMIFS(  INDIRECT(CONCATENATE("'wind'!", $C18, ":", $C18)),   wind!$6:$6, AE$4) - SUMIFS(   INDIRECT(CONCATENATE("offshore!",$D18,":", $D18)), offshore!$4:$4, AE$4)</f>
        <v>5226</v>
      </c>
      <c r="AF18" s="48">
        <f ca="1">SUMIFS(  INDIRECT(CONCATENATE("'wind'!", $C18, ":", $C18)),   wind!$6:$6, AF$4) - SUMIFS(   INDIRECT(CONCATENATE("offshore!",$D18,":", $D18)), 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wind!$C:$C, 0)</f>
        <v>21</v>
      </c>
      <c r="D19" s="20">
        <f>IFERROR(MATCH($E19, offshore!$D:$D, 0), 1)</f>
        <v>20</v>
      </c>
      <c r="E19" s="17" t="s">
        <v>78</v>
      </c>
      <c r="F19" s="48">
        <f ca="1">SUMIFS(  INDIRECT(CONCATENATE("'wind'!", $C19, ":", $C19)),   wind!$6:$6, F$4) - SUMIFS(   INDIRECT(CONCATENATE("offshore!",$D19,":", $D19)), offshore!$4:$4, F$4)</f>
        <v>0</v>
      </c>
      <c r="G19" s="48">
        <f ca="1">SUMIFS(  INDIRECT(CONCATENATE("'wind'!", $C19, ":", $C19)),   wind!$6:$6, G$4) - SUMIFS(   INDIRECT(CONCATENATE("offshore!",$D19,":", $D19)), offshore!$4:$4, G$4)</f>
        <v>0</v>
      </c>
      <c r="H19" s="48">
        <f ca="1">SUMIFS(  INDIRECT(CONCATENATE("'wind'!", $C19, ":", $C19)),   wind!$6:$6, H$4) - SUMIFS(   INDIRECT(CONCATENATE("offshore!",$D19,":", $D19)), offshore!$4:$4, H$4)</f>
        <v>0</v>
      </c>
      <c r="I19" s="48">
        <f ca="1">SUMIFS(  INDIRECT(CONCATENATE("'wind'!", $C19, ":", $C19)),   wind!$6:$6, I$4) - SUMIFS(   INDIRECT(CONCATENATE("offshore!",$D19,":", $D19)), offshore!$4:$4, I$4)</f>
        <v>0</v>
      </c>
      <c r="J19" s="48">
        <f ca="1">SUMIFS(  INDIRECT(CONCATENATE("'wind'!", $C19, ":", $C19)),   wind!$6:$6, J$4) - SUMIFS(   INDIRECT(CONCATENATE("offshore!",$D19,":", $D19)), offshore!$4:$4, J$4)</f>
        <v>0</v>
      </c>
      <c r="K19" s="48">
        <f ca="1">SUMIFS(  INDIRECT(CONCATENATE("'wind'!", $C19, ":", $C19)),   wind!$6:$6, K$4) - SUMIFS(   INDIRECT(CONCATENATE("offshore!",$D19,":", $D19)), offshore!$4:$4, K$4)</f>
        <v>101</v>
      </c>
      <c r="L19" s="48">
        <f ca="1">SUMIFS(  INDIRECT(CONCATENATE("'wind'!", $C19, ":", $C19)),   wind!$6:$6, L$4) - SUMIFS(   INDIRECT(CONCATENATE("offshore!",$D19,":", $D19)), offshore!$4:$4, L$4)</f>
        <v>160</v>
      </c>
      <c r="M19" s="48">
        <f ca="1">SUMIFS(  INDIRECT(CONCATENATE("'wind'!", $C19, ":", $C19)),   wind!$6:$6, M$4) - SUMIFS(   INDIRECT(CONCATENATE("offshore!",$D19,":", $D19)), offshore!$4:$4, M$4)</f>
        <v>267</v>
      </c>
      <c r="N19" s="48">
        <f ca="1">SUMIFS(  INDIRECT(CONCATENATE("'wind'!", $C19, ":", $C19)),   wind!$6:$6, N$4) - SUMIFS(   INDIRECT(CONCATENATE("offshore!",$D19,":", $D19)), offshore!$4:$4, N$4)</f>
        <v>314</v>
      </c>
      <c r="O19" s="48">
        <f ca="1">SUMIFS(  INDIRECT(CONCATENATE("'wind'!", $C19, ":", $C19)),   wind!$6:$6, O$4) - SUMIFS(   INDIRECT(CONCATENATE("offshore!",$D19,":", $D19)), offshore!$4:$4, O$4)</f>
        <v>333</v>
      </c>
      <c r="P19" s="48">
        <f ca="1">SUMIFS(  INDIRECT(CONCATENATE("'wind'!", $C19, ":", $C19)),   wind!$6:$6, P$4) - SUMIFS(   INDIRECT(CONCATENATE("offshore!",$D19,":", $D19)), offshore!$4:$4, P$4)</f>
        <v>423</v>
      </c>
      <c r="Q19" s="48">
        <f ca="1">SUMIFS(  INDIRECT(CONCATENATE("'wind'!", $C19, ":", $C19)),   wind!$6:$6, Q$4) - SUMIFS(   INDIRECT(CONCATENATE("offshore!",$D19,":", $D19)), offshore!$4:$4, Q$4)</f>
        <v>425</v>
      </c>
      <c r="R19" s="48">
        <f ca="1">SUMIFS(  INDIRECT(CONCATENATE("'wind'!", $C19, ":", $C19)),   wind!$6:$6, R$4) - SUMIFS(   INDIRECT(CONCATENATE("offshore!",$D19,":", $D19)), offshore!$4:$4, R$4)</f>
        <v>435</v>
      </c>
      <c r="S19" s="48">
        <f ca="1">SUMIFS(  INDIRECT(CONCATENATE("'wind'!", $C19, ":", $C19)),   wind!$6:$6, S$4) - SUMIFS(   INDIRECT(CONCATENATE("offshore!",$D19,":", $D19)), offshore!$4:$4, S$4)</f>
        <v>514</v>
      </c>
      <c r="T19" s="48">
        <f ca="1">SUMIFS(  INDIRECT(CONCATENATE("'wind'!", $C19, ":", $C19)),   wind!$6:$6, T$4) - SUMIFS(   INDIRECT(CONCATENATE("offshore!",$D19,":", $D19)), offshore!$4:$4, T$4)</f>
        <v>697</v>
      </c>
      <c r="U19" s="48">
        <f ca="1">SUMIFS(  INDIRECT(CONCATENATE("'wind'!", $C19, ":", $C19)),   wind!$6:$6, U$4) - SUMIFS(   INDIRECT(CONCATENATE("offshore!",$D19,":", $D19)), offshore!$4:$4, U$4)</f>
        <v>762</v>
      </c>
      <c r="V19" s="48">
        <f ca="1">SUMIFS(  INDIRECT(CONCATENATE("'wind'!", $C19, ":", $C19)),   wind!$6:$6, V$4) - SUMIFS(   INDIRECT(CONCATENATE("offshore!",$D19,":", $D19)), offshore!$4:$4, V$4)</f>
        <v>813</v>
      </c>
      <c r="W19" s="48">
        <f ca="1">SUMIFS(  INDIRECT(CONCATENATE("'wind'!", $C19, ":", $C19)),   wind!$6:$6, W$4) - SUMIFS(   INDIRECT(CONCATENATE("offshore!",$D19,":", $D19)), offshore!$4:$4, W$4)</f>
        <v>816</v>
      </c>
      <c r="X19" s="48">
        <f ca="1">SUMIFS(  INDIRECT(CONCATENATE("'wind'!", $C19, ":", $C19)),   wind!$6:$6, X$4) - SUMIFS(   INDIRECT(CONCATENATE("offshore!",$D19,":", $D19)), offshore!$4:$4, X$4)</f>
        <v>832</v>
      </c>
      <c r="Y19" s="48">
        <f ca="1">SUMIFS(  INDIRECT(CONCATENATE("'wind'!", $C19, ":", $C19)),   wind!$6:$6, Y$4) - SUMIFS(   INDIRECT(CONCATENATE("offshore!",$D19,":", $D19)), offshore!$4:$4, Y$4)</f>
        <v>1156</v>
      </c>
      <c r="Z19" s="48">
        <f ca="1">SUMIFS(  INDIRECT(CONCATENATE("'wind'!", $C19, ":", $C19)),   wind!$6:$6, Z$4) - SUMIFS(   INDIRECT(CONCATENATE("offshore!",$D19,":", $D19)), offshore!$4:$4, Z$4)</f>
        <v>1669</v>
      </c>
      <c r="AA19" s="48">
        <f ca="1">SUMIFS(  INDIRECT(CONCATENATE("'wind'!", $C19, ":", $C19)),   wind!$6:$6, AA$4) - SUMIFS(   INDIRECT(CONCATENATE("offshore!",$D19,":", $D19)), offshore!$4:$4, AA$4)</f>
        <v>2438</v>
      </c>
      <c r="AB19" s="48">
        <f ca="1">SUMIFS(  INDIRECT(CONCATENATE("'wind'!", $C19, ":", $C19)),   wind!$6:$6, AB$4) - SUMIFS(   INDIRECT(CONCATENATE("offshore!",$D19,":", $D19)), offshore!$4:$4, AB$4)</f>
        <v>3974</v>
      </c>
      <c r="AC19" s="48">
        <f ca="1">SUMIFS(  INDIRECT(CONCATENATE("'wind'!", $C19, ":", $C19)),   wind!$6:$6, AC$4) - SUMIFS(   INDIRECT(CONCATENATE("offshore!",$D19,":", $D19)), offshore!$4:$4, AC$4)</f>
        <v>4649</v>
      </c>
      <c r="AD19" s="48">
        <f ca="1">SUMIFS(  INDIRECT(CONCATENATE("'wind'!", $C19, ":", $C19)),   wind!$6:$6, AD$4) - SUMIFS(   INDIRECT(CONCATENATE("offshore!",$D19,":", $D19)), offshore!$4:$4, AD$4)</f>
        <v>5143</v>
      </c>
      <c r="AE19" s="48">
        <f ca="1">SUMIFS(  INDIRECT(CONCATENATE("'wind'!", $C19, ":", $C19)),   wind!$6:$6, AE$4) - SUMIFS(   INDIRECT(CONCATENATE("offshore!",$D19,":", $D19)), offshore!$4:$4, AE$4)</f>
        <v>5089.3999999999996</v>
      </c>
      <c r="AF19" s="48">
        <f ca="1">SUMIFS(  INDIRECT(CONCATENATE("'wind'!", $C19, ":", $C19)),   wind!$6:$6, AF$4) - SUMIFS(   INDIRECT(CONCATENATE("offshore!",$D19,":", $D19)), 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wind!$C:$C, 0)</f>
        <v>22</v>
      </c>
      <c r="D20" s="20">
        <f>IFERROR(MATCH($E20, offshore!$D:$D, 0), 1)</f>
        <v>12</v>
      </c>
      <c r="E20" s="17" t="s">
        <v>79</v>
      </c>
      <c r="F20" s="48">
        <f ca="1">SUMIFS(  INDIRECT(CONCATENATE("'wind'!", $C20, ":", $C20)),   wind!$6:$6, F$4) - SUMIFS(   INDIRECT(CONCATENATE("offshore!",$D20,":", $D20)), offshore!$4:$4, F$4)</f>
        <v>73</v>
      </c>
      <c r="G20" s="48">
        <f ca="1">SUMIFS(  INDIRECT(CONCATENATE("'wind'!", $C20, ":", $C20)),   wind!$6:$6, G$4) - SUMIFS(   INDIRECT(CONCATENATE("offshore!",$D20,":", $D20)), offshore!$4:$4, G$4)</f>
        <v>74</v>
      </c>
      <c r="H20" s="48">
        <f ca="1">SUMIFS(  INDIRECT(CONCATENATE("'wind'!", $C20, ":", $C20)),   wind!$6:$6, H$4) - SUMIFS(   INDIRECT(CONCATENATE("offshore!",$D20,":", $D20)), offshore!$4:$4, H$4)</f>
        <v>118</v>
      </c>
      <c r="I20" s="48">
        <f ca="1">SUMIFS(  INDIRECT(CONCATENATE("'wind'!", $C20, ":", $C20)),   wind!$6:$6, I$4) - SUMIFS(   INDIRECT(CONCATENATE("offshore!",$D20,":", $D20)), offshore!$4:$4, I$4)</f>
        <v>124</v>
      </c>
      <c r="J20" s="48">
        <f ca="1">SUMIFS(  INDIRECT(CONCATENATE("'wind'!", $C20, ":", $C20)),   wind!$6:$6, J$4) - SUMIFS(   INDIRECT(CONCATENATE("offshore!",$D20,":", $D20)), offshore!$4:$4, J$4)</f>
        <v>137</v>
      </c>
      <c r="K20" s="48">
        <f ca="1">SUMIFS(  INDIRECT(CONCATENATE("'wind'!", $C20, ":", $C20)),   wind!$6:$6, K$4) - SUMIFS(   INDIRECT(CONCATENATE("offshore!",$D20,":", $D20)), offshore!$4:$4, K$4)</f>
        <v>190</v>
      </c>
      <c r="L20" s="48">
        <f ca="1">SUMIFS(  INDIRECT(CONCATENATE("'wind'!", $C20, ":", $C20)),   wind!$6:$6, L$4) - SUMIFS(   INDIRECT(CONCATENATE("offshore!",$D20,":", $D20)), offshore!$4:$4, L$4)</f>
        <v>339</v>
      </c>
      <c r="M20" s="48">
        <f ca="1">SUMIFS(  INDIRECT(CONCATENATE("'wind'!", $C20, ":", $C20)),   wind!$6:$6, M$4) - SUMIFS(   INDIRECT(CONCATENATE("offshore!",$D20,":", $D20)), offshore!$4:$4, M$4)</f>
        <v>496</v>
      </c>
      <c r="N20" s="48">
        <f ca="1">SUMIFS(  INDIRECT(CONCATENATE("'wind'!", $C20, ":", $C20)),   wind!$6:$6, N$4) - SUMIFS(   INDIRECT(CONCATENATE("offshore!",$D20,":", $D20)), offshore!$4:$4, N$4)</f>
        <v>746</v>
      </c>
      <c r="O20" s="48">
        <f ca="1">SUMIFS(  INDIRECT(CONCATENATE("'wind'!", $C20, ":", $C20)),   wind!$6:$6, O$4) - SUMIFS(   INDIRECT(CONCATENATE("offshore!",$D20,":", $D20)), offshore!$4:$4, O$4)</f>
        <v>795</v>
      </c>
      <c r="P20" s="48">
        <f ca="1">SUMIFS(  INDIRECT(CONCATENATE("'wind'!", $C20, ":", $C20)),   wind!$6:$6, P$4) - SUMIFS(   INDIRECT(CONCATENATE("offshore!",$D20,":", $D20)), offshore!$4:$4, P$4)</f>
        <v>1001.8</v>
      </c>
      <c r="Q20" s="48">
        <f ca="1">SUMIFS(  INDIRECT(CONCATENATE("'wind'!", $C20, ":", $C20)),   wind!$6:$6, Q$4) - SUMIFS(   INDIRECT(CONCATENATE("offshore!",$D20,":", $D20)), offshore!$4:$4, Q$4)</f>
        <v>1234.8</v>
      </c>
      <c r="R20" s="48">
        <f ca="1">SUMIFS(  INDIRECT(CONCATENATE("'wind'!", $C20, ":", $C20)),   wind!$6:$6, R$4) - SUMIFS(   INDIRECT(CONCATENATE("offshore!",$D20,":", $D20)), offshore!$4:$4, R$4)</f>
        <v>1402.8</v>
      </c>
      <c r="S20" s="48">
        <f ca="1">SUMIFS(  INDIRECT(CONCATENATE("'wind'!", $C20, ":", $C20)),   wind!$6:$6, S$4) - SUMIFS(   INDIRECT(CONCATENATE("offshore!",$D20,":", $D20)), offshore!$4:$4, S$4)</f>
        <v>1605.8</v>
      </c>
      <c r="T20" s="48">
        <f ca="1">SUMIFS(  INDIRECT(CONCATENATE("'wind'!", $C20, ":", $C20)),   wind!$6:$6, T$4) - SUMIFS(   INDIRECT(CONCATENATE("offshore!",$D20,":", $D20)), offshore!$4:$4, T$4)</f>
        <v>1712.8</v>
      </c>
      <c r="U20" s="48">
        <f ca="1">SUMIFS(  INDIRECT(CONCATENATE("'wind'!", $C20, ":", $C20)),   wind!$6:$6, U$4) - SUMIFS(   INDIRECT(CONCATENATE("offshore!",$D20,":", $D20)), offshore!$4:$4, U$4)</f>
        <v>2011.8</v>
      </c>
      <c r="V20" s="48">
        <f ca="1">SUMIFS(  INDIRECT(CONCATENATE("'wind'!", $C20, ":", $C20)),   wind!$6:$6, V$4) - SUMIFS(   INDIRECT(CONCATENATE("offshore!",$D20,":", $D20)), offshore!$4:$4, V$4)</f>
        <v>2246.8000000000002</v>
      </c>
      <c r="W20" s="48">
        <f ca="1">SUMIFS(  INDIRECT(CONCATENATE("'wind'!", $C20, ":", $C20)),   wind!$6:$6, W$4) - SUMIFS(   INDIRECT(CONCATENATE("offshore!",$D20,":", $D20)), offshore!$4:$4, W$4)</f>
        <v>2414.8000000000002</v>
      </c>
      <c r="X20" s="48">
        <f ca="1">SUMIFS(  INDIRECT(CONCATENATE("'wind'!", $C20, ":", $C20)),   wind!$6:$6, X$4) - SUMIFS(   INDIRECT(CONCATENATE("offshore!",$D20,":", $D20)), offshore!$4:$4, X$4)</f>
        <v>2739.8</v>
      </c>
      <c r="Y20" s="48">
        <f ca="1">SUMIFS(  INDIRECT(CONCATENATE("'wind'!", $C20, ":", $C20)),   wind!$6:$6, Y$4) - SUMIFS(   INDIRECT(CONCATENATE("offshore!",$D20,":", $D20)), offshore!$4:$4, Y$4)</f>
        <v>3101.8</v>
      </c>
      <c r="Z20" s="48">
        <f ca="1">SUMIFS(  INDIRECT(CONCATENATE("'wind'!", $C20, ":", $C20)),   wind!$6:$6, Z$4) - SUMIFS(   INDIRECT(CONCATENATE("offshore!",$D20,":", $D20)), offshore!$4:$4, Z$4)</f>
        <v>3538.8</v>
      </c>
      <c r="AA20" s="48">
        <f ca="1">SUMIFS(  INDIRECT(CONCATENATE("'wind'!", $C20, ":", $C20)),   wind!$6:$6, AA$4) - SUMIFS(   INDIRECT(CONCATENATE("offshore!",$D20,":", $D20)), offshore!$4:$4, AA$4)</f>
        <v>4129.8</v>
      </c>
      <c r="AB20" s="48">
        <f ca="1">SUMIFS(  INDIRECT(CONCATENATE("'wind'!", $C20, ":", $C20)),   wind!$6:$6, AB$4) - SUMIFS(   INDIRECT(CONCATENATE("offshore!",$D20,":", $D20)), offshore!$4:$4, AB$4)</f>
        <v>4325.8</v>
      </c>
      <c r="AC20" s="48">
        <f ca="1">SUMIFS(  INDIRECT(CONCATENATE("'wind'!", $C20, ":", $C20)),   wind!$6:$6, AC$4) - SUMIFS(   INDIRECT(CONCATENATE("offshore!",$D20,":", $D20)), offshore!$4:$4, AC$4)</f>
        <v>4379.8</v>
      </c>
      <c r="AD20" s="48">
        <f ca="1">SUMIFS(  INDIRECT(CONCATENATE("'wind'!", $C20, ":", $C20)),   wind!$6:$6, AD$4) - SUMIFS(   INDIRECT(CONCATENATE("offshore!",$D20,":", $D20)), offshore!$4:$4, AD$4)</f>
        <v>4615.3999999999996</v>
      </c>
      <c r="AE20" s="48">
        <f ca="1">SUMIFS(  INDIRECT(CONCATENATE("'wind'!", $C20, ":", $C20)),   wind!$6:$6, AE$4) - SUMIFS(   INDIRECT(CONCATENATE("offshore!",$D20,":", $D20)), offshore!$4:$4, AE$4)</f>
        <v>4777</v>
      </c>
      <c r="AF20" s="48">
        <f ca="1">SUMIFS(  INDIRECT(CONCATENATE("'wind'!", $C20, ":", $C20)),   wind!$6:$6, AF$4) - SUMIFS(   INDIRECT(CONCATENATE("offshore!",$D20,":", $D20)), 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wind!$C:$C, 0)</f>
        <v>23</v>
      </c>
      <c r="D21" s="20">
        <f>IFERROR(MATCH($E21, offshore!$D:$D, 0), 1)</f>
        <v>1</v>
      </c>
      <c r="E21" s="17" t="s">
        <v>80</v>
      </c>
      <c r="F21" s="48">
        <f ca="1">SUMIFS(  INDIRECT(CONCATENATE("'wind'!", $C21, ":", $C21)),   wind!$6:$6, F$4) - SUMIFS(   INDIRECT(CONCATENATE("offshore!",$D21,":", $D21)), offshore!$4:$4, F$4)</f>
        <v>30</v>
      </c>
      <c r="G21" s="48">
        <f ca="1">SUMIFS(  INDIRECT(CONCATENATE("'wind'!", $C21, ":", $C21)),   wind!$6:$6, G$4) - SUMIFS(   INDIRECT(CONCATENATE("offshore!",$D21,":", $D21)), offshore!$4:$4, G$4)</f>
        <v>34</v>
      </c>
      <c r="H21" s="48">
        <f ca="1">SUMIFS(  INDIRECT(CONCATENATE("'wind'!", $C21, ":", $C21)),   wind!$6:$6, H$4) - SUMIFS(   INDIRECT(CONCATENATE("offshore!",$D21,":", $D21)), offshore!$4:$4, H$4)</f>
        <v>77</v>
      </c>
      <c r="I21" s="48">
        <f ca="1">SUMIFS(  INDIRECT(CONCATENATE("'wind'!", $C21, ":", $C21)),   wind!$6:$6, I$4) - SUMIFS(   INDIRECT(CONCATENATE("offshore!",$D21,":", $D21)), offshore!$4:$4, I$4)</f>
        <v>94</v>
      </c>
      <c r="J21" s="48">
        <f ca="1">SUMIFS(  INDIRECT(CONCATENATE("'wind'!", $C21, ":", $C21)),   wind!$6:$6, J$4) - SUMIFS(   INDIRECT(CONCATENATE("offshore!",$D21,":", $D21)), offshore!$4:$4, J$4)</f>
        <v>140</v>
      </c>
      <c r="K21" s="48">
        <f ca="1">SUMIFS(  INDIRECT(CONCATENATE("'wind'!", $C21, ":", $C21)),   wind!$6:$6, K$4) - SUMIFS(   INDIRECT(CONCATENATE("offshore!",$D21,":", $D21)), offshore!$4:$4, K$4)</f>
        <v>415</v>
      </c>
      <c r="L21" s="48">
        <f ca="1">SUMIFS(  INDIRECT(CONCATENATE("'wind'!", $C21, ":", $C21)),   wind!$6:$6, L$4) - SUMIFS(   INDIRECT(CONCATENATE("offshore!",$D21,":", $D21)), offshore!$4:$4, L$4)</f>
        <v>606</v>
      </c>
      <c r="M21" s="48">
        <f ca="1">SUMIFS(  INDIRECT(CONCATENATE("'wind'!", $C21, ":", $C21)),   wind!$6:$6, M$4) - SUMIFS(   INDIRECT(CONCATENATE("offshore!",$D21,":", $D21)), offshore!$4:$4, M$4)</f>
        <v>819</v>
      </c>
      <c r="N21" s="48">
        <f ca="1">SUMIFS(  INDIRECT(CONCATENATE("'wind'!", $C21, ":", $C21)),   wind!$6:$6, N$4) - SUMIFS(   INDIRECT(CONCATENATE("offshore!",$D21,":", $D21)), offshore!$4:$4, N$4)</f>
        <v>965</v>
      </c>
      <c r="O21" s="48">
        <f ca="1">SUMIFS(  INDIRECT(CONCATENATE("'wind'!", $C21, ":", $C21)),   wind!$6:$6, O$4) - SUMIFS(   INDIRECT(CONCATENATE("offshore!",$D21,":", $D21)), offshore!$4:$4, O$4)</f>
        <v>982</v>
      </c>
      <c r="P21" s="48">
        <f ca="1">SUMIFS(  INDIRECT(CONCATENATE("'wind'!", $C21, ":", $C21)),   wind!$6:$6, P$4) - SUMIFS(   INDIRECT(CONCATENATE("offshore!",$D21,":", $D21)), offshore!$4:$4, P$4)</f>
        <v>995</v>
      </c>
      <c r="Q21" s="48">
        <f ca="1">SUMIFS(  INDIRECT(CONCATENATE("'wind'!", $C21, ":", $C21)),   wind!$6:$6, Q$4) - SUMIFS(   INDIRECT(CONCATENATE("offshore!",$D21,":", $D21)), offshore!$4:$4, Q$4)</f>
        <v>995</v>
      </c>
      <c r="R21" s="48">
        <f ca="1">SUMIFS(  INDIRECT(CONCATENATE("'wind'!", $C21, ":", $C21)),   wind!$6:$6, R$4) - SUMIFS(   INDIRECT(CONCATENATE("offshore!",$D21,":", $D21)), offshore!$4:$4, R$4)</f>
        <v>1011</v>
      </c>
      <c r="S21" s="48">
        <f ca="1">SUMIFS(  INDIRECT(CONCATENATE("'wind'!", $C21, ":", $C21)),   wind!$6:$6, S$4) - SUMIFS(   INDIRECT(CONCATENATE("offshore!",$D21,":", $D21)), offshore!$4:$4, S$4)</f>
        <v>1084</v>
      </c>
      <c r="T21" s="48">
        <f ca="1">SUMIFS(  INDIRECT(CONCATENATE("'wind'!", $C21, ":", $C21)),   wind!$6:$6, T$4) - SUMIFS(   INDIRECT(CONCATENATE("offshore!",$D21,":", $D21)), offshore!$4:$4, T$4)</f>
        <v>1378</v>
      </c>
      <c r="U21" s="48">
        <f ca="1">SUMIFS(  INDIRECT(CONCATENATE("'wind'!", $C21, ":", $C21)),   wind!$6:$6, U$4) - SUMIFS(   INDIRECT(CONCATENATE("offshore!",$D21,":", $D21)), offshore!$4:$4, U$4)</f>
        <v>1684</v>
      </c>
      <c r="V21" s="48">
        <f ca="1">SUMIFS(  INDIRECT(CONCATENATE("'wind'!", $C21, ":", $C21)),   wind!$6:$6, V$4) - SUMIFS(   INDIRECT(CONCATENATE("offshore!",$D21,":", $D21)), offshore!$4:$4, V$4)</f>
        <v>2095</v>
      </c>
      <c r="W21" s="48">
        <f ca="1">SUMIFS(  INDIRECT(CONCATENATE("'wind'!", $C21, ":", $C21)),   wind!$6:$6, W$4) - SUMIFS(   INDIRECT(CONCATENATE("offshore!",$D21,":", $D21)), offshore!$4:$4, W$4)</f>
        <v>2404</v>
      </c>
      <c r="X21" s="48">
        <f ca="1">SUMIFS(  INDIRECT(CONCATENATE("'wind'!", $C21, ":", $C21)),   wind!$6:$6, X$4) - SUMIFS(   INDIRECT(CONCATENATE("offshore!",$D21,":", $D21)), offshore!$4:$4, X$4)</f>
        <v>2632</v>
      </c>
      <c r="Y21" s="48">
        <f ca="1">SUMIFS(  INDIRECT(CONCATENATE("'wind'!", $C21, ":", $C21)),   wind!$6:$6, Y$4) - SUMIFS(   INDIRECT(CONCATENATE("offshore!",$D21,":", $D21)), offshore!$4:$4, Y$4)</f>
        <v>2828</v>
      </c>
      <c r="Z21" s="48">
        <f ca="1">SUMIFS(  INDIRECT(CONCATENATE("'wind'!", $C21, ":", $C21)),   wind!$6:$6, Z$4) - SUMIFS(   INDIRECT(CONCATENATE("offshore!",$D21,":", $D21)), offshore!$4:$4, Z$4)</f>
        <v>3045</v>
      </c>
      <c r="AA21" s="48">
        <f ca="1">SUMIFS(  INDIRECT(CONCATENATE("'wind'!", $C21, ":", $C21)),   wind!$6:$6, AA$4) - SUMIFS(   INDIRECT(CONCATENATE("offshore!",$D21,":", $D21)), offshore!$4:$4, AA$4)</f>
        <v>3159</v>
      </c>
      <c r="AB21" s="48">
        <f ca="1">SUMIFS(  INDIRECT(CONCATENATE("'wind'!", $C21, ":", $C21)),   wind!$6:$6, AB$4) - SUMIFS(   INDIRECT(CONCATENATE("offshore!",$D21,":", $D21)), offshore!$4:$4, AB$4)</f>
        <v>3120</v>
      </c>
      <c r="AC21" s="48">
        <f ca="1">SUMIFS(  INDIRECT(CONCATENATE("'wind'!", $C21, ":", $C21)),   wind!$6:$6, AC$4) - SUMIFS(   INDIRECT(CONCATENATE("offshore!",$D21,":", $D21)), offshore!$4:$4, AC$4)</f>
        <v>3300</v>
      </c>
      <c r="AD21" s="48">
        <f ca="1">SUMIFS(  INDIRECT(CONCATENATE("'wind'!", $C21, ":", $C21)),   wind!$6:$6, AD$4) - SUMIFS(   INDIRECT(CONCATENATE("offshore!",$D21,":", $D21)), offshore!$4:$4, AD$4)</f>
        <v>3586</v>
      </c>
      <c r="AE21" s="48">
        <f ca="1">SUMIFS(  INDIRECT(CONCATENATE("'wind'!", $C21, ":", $C21)),   wind!$6:$6, AE$4) - SUMIFS(   INDIRECT(CONCATENATE("offshore!",$D21,":", $D21)), offshore!$4:$4, AE$4)</f>
        <v>3885</v>
      </c>
      <c r="AF21" s="48">
        <f ca="1">SUMIFS(  INDIRECT(CONCATENATE("'wind'!", $C21, ":", $C21)),   wind!$6:$6, AF$4) - SUMIFS(   INDIRECT(CONCATENATE("offshore!",$D21,":", $D21)), 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wind!$C:$C, 0)</f>
        <v>24</v>
      </c>
      <c r="D22" s="20">
        <f>IFERROR(MATCH($E22, offshore!$D:$D, 0), 1)</f>
        <v>1</v>
      </c>
      <c r="E22" s="17" t="s">
        <v>81</v>
      </c>
      <c r="F22" s="48">
        <f ca="1">SUMIFS(  INDIRECT(CONCATENATE("'wind'!", $C22, ":", $C22)),   wind!$6:$6, F$4) - SUMIFS(   INDIRECT(CONCATENATE("offshore!",$D22,":", $D22)), offshore!$4:$4, F$4)</f>
        <v>0</v>
      </c>
      <c r="G22" s="48">
        <f ca="1">SUMIFS(  INDIRECT(CONCATENATE("'wind'!", $C22, ":", $C22)),   wind!$6:$6, G$4) - SUMIFS(   INDIRECT(CONCATENATE("offshore!",$D22,":", $D22)), offshore!$4:$4, G$4)</f>
        <v>0</v>
      </c>
      <c r="H22" s="48">
        <f ca="1">SUMIFS(  INDIRECT(CONCATENATE("'wind'!", $C22, ":", $C22)),   wind!$6:$6, H$4) - SUMIFS(   INDIRECT(CONCATENATE("offshore!",$D22,":", $D22)), offshore!$4:$4, H$4)</f>
        <v>0</v>
      </c>
      <c r="I22" s="48">
        <f ca="1">SUMIFS(  INDIRECT(CONCATENATE("'wind'!", $C22, ":", $C22)),   wind!$6:$6, I$4) - SUMIFS(   INDIRECT(CONCATENATE("offshore!",$D22,":", $D22)), offshore!$4:$4, I$4)</f>
        <v>0</v>
      </c>
      <c r="J22" s="48">
        <f ca="1">SUMIFS(  INDIRECT(CONCATENATE("'wind'!", $C22, ":", $C22)),   wind!$6:$6, J$4) - SUMIFS(   INDIRECT(CONCATENATE("offshore!",$D22,":", $D22)), offshore!$4:$4, J$4)</f>
        <v>0</v>
      </c>
      <c r="K22" s="48">
        <f ca="1">SUMIFS(  INDIRECT(CONCATENATE("'wind'!", $C22, ":", $C22)),   wind!$6:$6, K$4) - SUMIFS(   INDIRECT(CONCATENATE("offshore!",$D22,":", $D22)), offshore!$4:$4, K$4)</f>
        <v>1</v>
      </c>
      <c r="L22" s="48">
        <f ca="1">SUMIFS(  INDIRECT(CONCATENATE("'wind'!", $C22, ":", $C22)),   wind!$6:$6, L$4) - SUMIFS(   INDIRECT(CONCATENATE("offshore!",$D22,":", $D22)), offshore!$4:$4, L$4)</f>
        <v>1</v>
      </c>
      <c r="M22" s="48">
        <f ca="1">SUMIFS(  INDIRECT(CONCATENATE("'wind'!", $C22, ":", $C22)),   wind!$6:$6, M$4) - SUMIFS(   INDIRECT(CONCATENATE("offshore!",$D22,":", $D22)), offshore!$4:$4, M$4)</f>
        <v>2</v>
      </c>
      <c r="N22" s="48">
        <f ca="1">SUMIFS(  INDIRECT(CONCATENATE("'wind'!", $C22, ":", $C22)),   wind!$6:$6, N$4) - SUMIFS(   INDIRECT(CONCATENATE("offshore!",$D22,":", $D22)), offshore!$4:$4, N$4)</f>
        <v>3</v>
      </c>
      <c r="O22" s="48">
        <f ca="1">SUMIFS(  INDIRECT(CONCATENATE("'wind'!", $C22, ":", $C22)),   wind!$6:$6, O$4) - SUMIFS(   INDIRECT(CONCATENATE("offshore!",$D22,":", $D22)), offshore!$4:$4, O$4)</f>
        <v>8</v>
      </c>
      <c r="P22" s="48">
        <f ca="1">SUMIFS(  INDIRECT(CONCATENATE("'wind'!", $C22, ":", $C22)),   wind!$6:$6, P$4) - SUMIFS(   INDIRECT(CONCATENATE("offshore!",$D22,":", $D22)), offshore!$4:$4, P$4)</f>
        <v>11</v>
      </c>
      <c r="Q22" s="48">
        <f ca="1">SUMIFS(  INDIRECT(CONCATENATE("'wind'!", $C22, ":", $C22)),   wind!$6:$6, Q$4) - SUMIFS(   INDIRECT(CONCATENATE("offshore!",$D22,":", $D22)), offshore!$4:$4, Q$4)</f>
        <v>14</v>
      </c>
      <c r="R22" s="48">
        <f ca="1">SUMIFS(  INDIRECT(CONCATENATE("'wind'!", $C22, ":", $C22)),   wind!$6:$6, R$4) - SUMIFS(   INDIRECT(CONCATENATE("offshore!",$D22,":", $D22)), offshore!$4:$4, R$4)</f>
        <v>462</v>
      </c>
      <c r="S22" s="48">
        <f ca="1">SUMIFS(  INDIRECT(CONCATENATE("'wind'!", $C22, ":", $C22)),   wind!$6:$6, S$4) - SUMIFS(   INDIRECT(CONCATENATE("offshore!",$D22,":", $D22)), offshore!$4:$4, S$4)</f>
        <v>982</v>
      </c>
      <c r="T22" s="48">
        <f ca="1">SUMIFS(  INDIRECT(CONCATENATE("'wind'!", $C22, ":", $C22)),   wind!$6:$6, T$4) - SUMIFS(   INDIRECT(CONCATENATE("offshore!",$D22,":", $D22)), offshore!$4:$4, T$4)</f>
        <v>1905</v>
      </c>
      <c r="U22" s="48">
        <f ca="1">SUMIFS(  INDIRECT(CONCATENATE("'wind'!", $C22, ":", $C22)),   wind!$6:$6, U$4) - SUMIFS(   INDIRECT(CONCATENATE("offshore!",$D22,":", $D22)), offshore!$4:$4, U$4)</f>
        <v>2599</v>
      </c>
      <c r="V22" s="48">
        <f ca="1">SUMIFS(  INDIRECT(CONCATENATE("'wind'!", $C22, ":", $C22)),   wind!$6:$6, V$4) - SUMIFS(   INDIRECT(CONCATENATE("offshore!",$D22,":", $D22)), offshore!$4:$4, V$4)</f>
        <v>2954</v>
      </c>
      <c r="W22" s="48">
        <f ca="1">SUMIFS(  INDIRECT(CONCATENATE("'wind'!", $C22, ":", $C22)),   wind!$6:$6, W$4) - SUMIFS(   INDIRECT(CONCATENATE("offshore!",$D22,":", $D22)), offshore!$4:$4, W$4)</f>
        <v>2976</v>
      </c>
      <c r="X22" s="48">
        <f ca="1">SUMIFS(  INDIRECT(CONCATENATE("'wind'!", $C22, ":", $C22)),   wind!$6:$6, X$4) - SUMIFS(   INDIRECT(CONCATENATE("offshore!",$D22,":", $D22)), offshore!$4:$4, X$4)</f>
        <v>3028</v>
      </c>
      <c r="Y22" s="48">
        <f ca="1">SUMIFS(  INDIRECT(CONCATENATE("'wind'!", $C22, ":", $C22)),   wind!$6:$6, Y$4) - SUMIFS(   INDIRECT(CONCATENATE("offshore!",$D22,":", $D22)), offshore!$4:$4, Y$4)</f>
        <v>3029</v>
      </c>
      <c r="Z22" s="48">
        <f ca="1">SUMIFS(  INDIRECT(CONCATENATE("'wind'!", $C22, ":", $C22)),   wind!$6:$6, Z$4) - SUMIFS(   INDIRECT(CONCATENATE("offshore!",$D22,":", $D22)), offshore!$4:$4, Z$4)</f>
        <v>3029</v>
      </c>
      <c r="AA22" s="48">
        <f ca="1">SUMIFS(  INDIRECT(CONCATENATE("'wind'!", $C22, ":", $C22)),   wind!$6:$6, AA$4) - SUMIFS(   INDIRECT(CONCATENATE("offshore!",$D22,":", $D22)), offshore!$4:$4, AA$4)</f>
        <v>3029</v>
      </c>
      <c r="AB22" s="48">
        <f ca="1">SUMIFS(  INDIRECT(CONCATENATE("'wind'!", $C22, ":", $C22)),   wind!$6:$6, AB$4) - SUMIFS(   INDIRECT(CONCATENATE("offshore!",$D22,":", $D22)), offshore!$4:$4, AB$4)</f>
        <v>3029</v>
      </c>
      <c r="AC22" s="48">
        <f ca="1">SUMIFS(  INDIRECT(CONCATENATE("'wind'!", $C22, ":", $C22)),   wind!$6:$6, AC$4) - SUMIFS(   INDIRECT(CONCATENATE("offshore!",$D22,":", $D22)), offshore!$4:$4, AC$4)</f>
        <v>3029</v>
      </c>
      <c r="AD22" s="48">
        <f ca="1">SUMIFS(  INDIRECT(CONCATENATE("'wind'!", $C22, ":", $C22)),   wind!$6:$6, AD$4) - SUMIFS(   INDIRECT(CONCATENATE("offshore!",$D22,":", $D22)), offshore!$4:$4, AD$4)</f>
        <v>3029</v>
      </c>
      <c r="AE22" s="48">
        <f ca="1">SUMIFS(  INDIRECT(CONCATENATE("'wind'!", $C22, ":", $C22)),   wind!$6:$6, AE$4) - SUMIFS(   INDIRECT(CONCATENATE("offshore!",$D22,":", $D22)), offshore!$4:$4, AE$4)</f>
        <v>3100</v>
      </c>
      <c r="AF22" s="48">
        <f ca="1">SUMIFS(  INDIRECT(CONCATENATE("'wind'!", $C22, ":", $C22)),   wind!$6:$6, AF$4) - SUMIFS(   INDIRECT(CONCATENATE("offshore!",$D22,":", $D22)), 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wind!$C:$C, 0)</f>
        <v>25</v>
      </c>
      <c r="D23" s="20">
        <f>IFERROR(MATCH($E23, offshore!$D:$D, 0), 1)</f>
        <v>1</v>
      </c>
      <c r="E23" s="17" t="s">
        <v>82</v>
      </c>
      <c r="F23" s="48">
        <f ca="1">SUMIFS(  INDIRECT(CONCATENATE("'wind'!", $C23, ":", $C23)),   wind!$6:$6, F$4) - SUMIFS(   INDIRECT(CONCATENATE("offshore!",$D23,":", $D23)), offshore!$4:$4, F$4)</f>
        <v>0</v>
      </c>
      <c r="G23" s="48">
        <f ca="1">SUMIFS(  INDIRECT(CONCATENATE("'wind'!", $C23, ":", $C23)),   wind!$6:$6, G$4) - SUMIFS(   INDIRECT(CONCATENATE("offshore!",$D23,":", $D23)), offshore!$4:$4, G$4)</f>
        <v>0</v>
      </c>
      <c r="H23" s="48">
        <f ca="1">SUMIFS(  INDIRECT(CONCATENATE("'wind'!", $C23, ":", $C23)),   wind!$6:$6, H$4) - SUMIFS(   INDIRECT(CONCATENATE("offshore!",$D23,":", $D23)), offshore!$4:$4, H$4)</f>
        <v>0</v>
      </c>
      <c r="I23" s="48">
        <f ca="1">SUMIFS(  INDIRECT(CONCATENATE("'wind'!", $C23, ":", $C23)),   wind!$6:$6, I$4) - SUMIFS(   INDIRECT(CONCATENATE("offshore!",$D23,":", $D23)), offshore!$4:$4, I$4)</f>
        <v>0</v>
      </c>
      <c r="J23" s="48">
        <f ca="1">SUMIFS(  INDIRECT(CONCATENATE("'wind'!", $C23, ":", $C23)),   wind!$6:$6, J$4) - SUMIFS(   INDIRECT(CONCATENATE("offshore!",$D23,":", $D23)), offshore!$4:$4, J$4)</f>
        <v>0</v>
      </c>
      <c r="K23" s="48">
        <f ca="1">SUMIFS(  INDIRECT(CONCATENATE("'wind'!", $C23, ":", $C23)),   wind!$6:$6, K$4) - SUMIFS(   INDIRECT(CONCATENATE("offshore!",$D23,":", $D23)), offshore!$4:$4, K$4)</f>
        <v>0</v>
      </c>
      <c r="L23" s="48">
        <f ca="1">SUMIFS(  INDIRECT(CONCATENATE("'wind'!", $C23, ":", $C23)),   wind!$6:$6, L$4) - SUMIFS(   INDIRECT(CONCATENATE("offshore!",$D23,":", $D23)), offshore!$4:$4, L$4)</f>
        <v>0</v>
      </c>
      <c r="M23" s="48">
        <f ca="1">SUMIFS(  INDIRECT(CONCATENATE("'wind'!", $C23, ":", $C23)),   wind!$6:$6, M$4) - SUMIFS(   INDIRECT(CONCATENATE("offshore!",$D23,":", $D23)), offshore!$4:$4, M$4)</f>
        <v>0</v>
      </c>
      <c r="N23" s="48">
        <f ca="1">SUMIFS(  INDIRECT(CONCATENATE("'wind'!", $C23, ":", $C23)),   wind!$6:$6, N$4) - SUMIFS(   INDIRECT(CONCATENATE("offshore!",$D23,":", $D23)), offshore!$4:$4, N$4)</f>
        <v>0</v>
      </c>
      <c r="O23" s="48">
        <f ca="1">SUMIFS(  INDIRECT(CONCATENATE("'wind'!", $C23, ":", $C23)),   wind!$6:$6, O$4) - SUMIFS(   INDIRECT(CONCATENATE("offshore!",$D23,":", $D23)), offshore!$4:$4, O$4)</f>
        <v>0</v>
      </c>
      <c r="P23" s="48">
        <f ca="1">SUMIFS(  INDIRECT(CONCATENATE("'wind'!", $C23, ":", $C23)),   wind!$6:$6, P$4) - SUMIFS(   INDIRECT(CONCATENATE("offshore!",$D23,":", $D23)), offshore!$4:$4, P$4)</f>
        <v>0</v>
      </c>
      <c r="Q23" s="48">
        <f ca="1">SUMIFS(  INDIRECT(CONCATENATE("'wind'!", $C23, ":", $C23)),   wind!$6:$6, Q$4) - SUMIFS(   INDIRECT(CONCATENATE("offshore!",$D23,":", $D23)), offshore!$4:$4, Q$4)</f>
        <v>9</v>
      </c>
      <c r="R23" s="48">
        <f ca="1">SUMIFS(  INDIRECT(CONCATENATE("'wind'!", $C23, ":", $C23)),   wind!$6:$6, R$4) - SUMIFS(   INDIRECT(CONCATENATE("offshore!",$D23,":", $D23)), offshore!$4:$4, R$4)</f>
        <v>9</v>
      </c>
      <c r="S23" s="48">
        <f ca="1">SUMIFS(  INDIRECT(CONCATENATE("'wind'!", $C23, ":", $C23)),   wind!$6:$6, S$4) - SUMIFS(   INDIRECT(CONCATENATE("offshore!",$D23,":", $D23)), offshore!$4:$4, S$4)</f>
        <v>15</v>
      </c>
      <c r="T23" s="48">
        <f ca="1">SUMIFS(  INDIRECT(CONCATENATE("'wind'!", $C23, ":", $C23)),   wind!$6:$6, T$4) - SUMIFS(   INDIRECT(CONCATENATE("offshore!",$D23,":", $D23)), offshore!$4:$4, T$4)</f>
        <v>15</v>
      </c>
      <c r="U23" s="48">
        <f ca="1">SUMIFS(  INDIRECT(CONCATENATE("'wind'!", $C23, ":", $C23)),   wind!$6:$6, U$4) - SUMIFS(   INDIRECT(CONCATENATE("offshore!",$D23,":", $D23)), offshore!$4:$4, U$4)</f>
        <v>15</v>
      </c>
      <c r="V23" s="48">
        <f ca="1">SUMIFS(  INDIRECT(CONCATENATE("'wind'!", $C23, ":", $C23)),   wind!$6:$6, V$4) - SUMIFS(   INDIRECT(CONCATENATE("offshore!",$D23,":", $D23)), offshore!$4:$4, V$4)</f>
        <v>15</v>
      </c>
      <c r="W23" s="48">
        <f ca="1">SUMIFS(  INDIRECT(CONCATENATE("'wind'!", $C23, ":", $C23)),   wind!$6:$6, W$4) - SUMIFS(   INDIRECT(CONCATENATE("offshore!",$D23,":", $D23)), offshore!$4:$4, W$4)</f>
        <v>15</v>
      </c>
      <c r="X23" s="48">
        <f ca="1">SUMIFS(  INDIRECT(CONCATENATE("'wind'!", $C23, ":", $C23)),   wind!$6:$6, X$4) - SUMIFS(   INDIRECT(CONCATENATE("offshore!",$D23,":", $D23)), offshore!$4:$4, X$4)</f>
        <v>15</v>
      </c>
      <c r="Y23" s="48">
        <f ca="1">SUMIFS(  INDIRECT(CONCATENATE("'wind'!", $C23, ":", $C23)),   wind!$6:$6, Y$4) - SUMIFS(   INDIRECT(CONCATENATE("offshore!",$D23,":", $D23)), offshore!$4:$4, Y$4)</f>
        <v>104</v>
      </c>
      <c r="Z23" s="48">
        <f ca="1">SUMIFS(  INDIRECT(CONCATENATE("'wind'!", $C23, ":", $C23)),   wind!$6:$6, Z$4) - SUMIFS(   INDIRECT(CONCATENATE("offshore!",$D23,":", $D23)), offshore!$4:$4, Z$4)</f>
        <v>139</v>
      </c>
      <c r="AA23" s="48">
        <f ca="1">SUMIFS(  INDIRECT(CONCATENATE("'wind'!", $C23, ":", $C23)),   wind!$6:$6, AA$4) - SUMIFS(   INDIRECT(CONCATENATE("offshore!",$D23,":", $D23)), offshore!$4:$4, AA$4)</f>
        <v>191</v>
      </c>
      <c r="AB23" s="48">
        <f ca="1">SUMIFS(  INDIRECT(CONCATENATE("'wind'!", $C23, ":", $C23)),   wind!$6:$6, AB$4) - SUMIFS(   INDIRECT(CONCATENATE("offshore!",$D23,":", $D23)), offshore!$4:$4, AB$4)</f>
        <v>905</v>
      </c>
      <c r="AC23" s="48">
        <f ca="1">SUMIFS(  INDIRECT(CONCATENATE("'wind'!", $C23, ":", $C23)),   wind!$6:$6, AC$4) - SUMIFS(   INDIRECT(CONCATENATE("offshore!",$D23,":", $D23)), offshore!$4:$4, AC$4)</f>
        <v>2043</v>
      </c>
      <c r="AD23" s="48">
        <f ca="1">SUMIFS(  INDIRECT(CONCATENATE("'wind'!", $C23, ":", $C23)),   wind!$6:$6, AD$4) - SUMIFS(   INDIRECT(CONCATENATE("offshore!",$D23,":", $D23)), offshore!$4:$4, AD$4)</f>
        <v>2043</v>
      </c>
      <c r="AE23" s="48">
        <f ca="1">SUMIFS(  INDIRECT(CONCATENATE("'wind'!", $C23, ":", $C23)),   wind!$6:$6, AE$4) - SUMIFS(   INDIRECT(CONCATENATE("offshore!",$D23,":", $D23)), 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wind!$C:$C, 0)</f>
        <v>26</v>
      </c>
      <c r="D24" s="20">
        <f>IFERROR(MATCH($E24, offshore!$D:$D, 0), 1)</f>
        <v>1</v>
      </c>
      <c r="E24" s="17" t="s">
        <v>83</v>
      </c>
      <c r="F24" s="48">
        <f ca="1">SUMIFS(  INDIRECT(CONCATENATE("'wind'!", $C24, ":", $C24)),   wind!$6:$6, F$4) - SUMIFS(   INDIRECT(CONCATENATE("offshore!",$D24,":", $D24)), offshore!$4:$4, F$4)</f>
        <v>0</v>
      </c>
      <c r="G24" s="48">
        <f ca="1">SUMIFS(  INDIRECT(CONCATENATE("'wind'!", $C24, ":", $C24)),   wind!$6:$6, G$4) - SUMIFS(   INDIRECT(CONCATENATE("offshore!",$D24,":", $D24)), offshore!$4:$4, G$4)</f>
        <v>0</v>
      </c>
      <c r="H24" s="48">
        <f ca="1">SUMIFS(  INDIRECT(CONCATENATE("'wind'!", $C24, ":", $C24)),   wind!$6:$6, H$4) - SUMIFS(   INDIRECT(CONCATENATE("offshore!",$D24,":", $D24)), offshore!$4:$4, H$4)</f>
        <v>0</v>
      </c>
      <c r="I24" s="48">
        <f ca="1">SUMIFS(  INDIRECT(CONCATENATE("'wind'!", $C24, ":", $C24)),   wind!$6:$6, I$4) - SUMIFS(   INDIRECT(CONCATENATE("offshore!",$D24,":", $D24)), offshore!$4:$4, I$4)</f>
        <v>0</v>
      </c>
      <c r="J24" s="48">
        <f ca="1">SUMIFS(  INDIRECT(CONCATENATE("'wind'!", $C24, ":", $C24)),   wind!$6:$6, J$4) - SUMIFS(   INDIRECT(CONCATENATE("offshore!",$D24,":", $D24)), offshore!$4:$4, J$4)</f>
        <v>0</v>
      </c>
      <c r="K24" s="48">
        <f ca="1">SUMIFS(  INDIRECT(CONCATENATE("'wind'!", $C24, ":", $C24)),   wind!$6:$6, K$4) - SUMIFS(   INDIRECT(CONCATENATE("offshore!",$D24,":", $D24)), offshore!$4:$4, K$4)</f>
        <v>0</v>
      </c>
      <c r="L24" s="48">
        <f ca="1">SUMIFS(  INDIRECT(CONCATENATE("'wind'!", $C24, ":", $C24)),   wind!$6:$6, L$4) - SUMIFS(   INDIRECT(CONCATENATE("offshore!",$D24,":", $D24)), offshore!$4:$4, L$4)</f>
        <v>0</v>
      </c>
      <c r="M24" s="48">
        <f ca="1">SUMIFS(  INDIRECT(CONCATENATE("'wind'!", $C24, ":", $C24)),   wind!$6:$6, M$4) - SUMIFS(   INDIRECT(CONCATENATE("offshore!",$D24,":", $D24)), offshore!$4:$4, M$4)</f>
        <v>77</v>
      </c>
      <c r="N24" s="48">
        <f ca="1">SUMIFS(  INDIRECT(CONCATENATE("'wind'!", $C24, ":", $C24)),   wind!$6:$6, N$4) - SUMIFS(   INDIRECT(CONCATENATE("offshore!",$D24,":", $D24)), offshore!$4:$4, N$4)</f>
        <v>86</v>
      </c>
      <c r="O24" s="48">
        <f ca="1">SUMIFS(  INDIRECT(CONCATENATE("'wind'!", $C24, ":", $C24)),   wind!$6:$6, O$4) - SUMIFS(   INDIRECT(CONCATENATE("offshore!",$D24,":", $D24)), offshore!$4:$4, O$4)</f>
        <v>89</v>
      </c>
      <c r="P24" s="48">
        <f ca="1">SUMIFS(  INDIRECT(CONCATENATE("'wind'!", $C24, ":", $C24)),   wind!$6:$6, P$4) - SUMIFS(   INDIRECT(CONCATENATE("offshore!",$D24,":", $D24)), offshore!$4:$4, P$4)</f>
        <v>90</v>
      </c>
      <c r="Q24" s="48">
        <f ca="1">SUMIFS(  INDIRECT(CONCATENATE("'wind'!", $C24, ":", $C24)),   wind!$6:$6, Q$4) - SUMIFS(   INDIRECT(CONCATENATE("offshore!",$D24,":", $D24)), offshore!$4:$4, Q$4)</f>
        <v>94</v>
      </c>
      <c r="R24" s="48">
        <f ca="1">SUMIFS(  INDIRECT(CONCATENATE("'wind'!", $C24, ":", $C24)),   wind!$6:$6, R$4) - SUMIFS(   INDIRECT(CONCATENATE("offshore!",$D24,":", $D24)), offshore!$4:$4, R$4)</f>
        <v>87</v>
      </c>
      <c r="S24" s="48">
        <f ca="1">SUMIFS(  INDIRECT(CONCATENATE("'wind'!", $C24, ":", $C24)),   wind!$6:$6, S$4) - SUMIFS(   INDIRECT(CONCATENATE("offshore!",$D24,":", $D24)), offshore!$4:$4, S$4)</f>
        <v>151</v>
      </c>
      <c r="T24" s="48">
        <f ca="1">SUMIFS(  INDIRECT(CONCATENATE("'wind'!", $C24, ":", $C24)),   wind!$6:$6, T$4) - SUMIFS(   INDIRECT(CONCATENATE("offshore!",$D24,":", $D24)), offshore!$4:$4, T$4)</f>
        <v>278</v>
      </c>
      <c r="U24" s="48">
        <f ca="1">SUMIFS(  INDIRECT(CONCATENATE("'wind'!", $C24, ":", $C24)),   wind!$6:$6, U$4) - SUMIFS(   INDIRECT(CONCATENATE("offshore!",$D24,":", $D24)), offshore!$4:$4, U$4)</f>
        <v>371</v>
      </c>
      <c r="V24" s="48">
        <f ca="1">SUMIFS(  INDIRECT(CONCATENATE("'wind'!", $C24, ":", $C24)),   wind!$6:$6, V$4) - SUMIFS(   INDIRECT(CONCATENATE("offshore!",$D24,":", $D24)), offshore!$4:$4, V$4)</f>
        <v>498</v>
      </c>
      <c r="W24" s="48">
        <f ca="1">SUMIFS(  INDIRECT(CONCATENATE("'wind'!", $C24, ":", $C24)),   wind!$6:$6, W$4) - SUMIFS(   INDIRECT(CONCATENATE("offshore!",$D24,":", $D24)), offshore!$4:$4, W$4)</f>
        <v>514</v>
      </c>
      <c r="X24" s="48">
        <f ca="1">SUMIFS(  INDIRECT(CONCATENATE("'wind'!", $C24, ":", $C24)),   wind!$6:$6, X$4) - SUMIFS(   INDIRECT(CONCATENATE("offshore!",$D24,":", $D24)), offshore!$4:$4, X$4)</f>
        <v>526</v>
      </c>
      <c r="Y24" s="48">
        <f ca="1">SUMIFS(  INDIRECT(CONCATENATE("'wind'!", $C24, ":", $C24)),   wind!$6:$6, Y$4) - SUMIFS(   INDIRECT(CONCATENATE("offshore!",$D24,":", $D24)), offshore!$4:$4, Y$4)</f>
        <v>593</v>
      </c>
      <c r="Z24" s="48">
        <f ca="1">SUMIFS(  INDIRECT(CONCATENATE("'wind'!", $C24, ":", $C24)),   wind!$6:$6, Z$4) - SUMIFS(   INDIRECT(CONCATENATE("offshore!",$D24,":", $D24)), offshore!$4:$4, Z$4)</f>
        <v>533</v>
      </c>
      <c r="AA24" s="48">
        <f ca="1">SUMIFS(  INDIRECT(CONCATENATE("'wind'!", $C24, ":", $C24)),   wind!$6:$6, AA$4) - SUMIFS(   INDIRECT(CONCATENATE("offshore!",$D24,":", $D24)), offshore!$4:$4, AA$4)</f>
        <v>1170</v>
      </c>
      <c r="AB24" s="48">
        <f ca="1">SUMIFS(  INDIRECT(CONCATENATE("'wind'!", $C24, ":", $C24)),   wind!$6:$6, AB$4) - SUMIFS(   INDIRECT(CONCATENATE("offshore!",$D24,":", $D24)), offshore!$4:$4, AB$4)</f>
        <v>1314</v>
      </c>
      <c r="AC24" s="48">
        <f ca="1">SUMIFS(  INDIRECT(CONCATENATE("'wind'!", $C24, ":", $C24)),   wind!$6:$6, AC$4) - SUMIFS(   INDIRECT(CONCATENATE("offshore!",$D24,":", $D24)), offshore!$4:$4, AC$4)</f>
        <v>1673</v>
      </c>
      <c r="AD24" s="48">
        <f ca="1">SUMIFS(  INDIRECT(CONCATENATE("'wind'!", $C24, ":", $C24)),   wind!$6:$6, AD$4) - SUMIFS(   INDIRECT(CONCATENATE("offshore!",$D24,":", $D24)), offshore!$4:$4, AD$4)</f>
        <v>1673</v>
      </c>
      <c r="AE24" s="48">
        <f ca="1">SUMIFS(  INDIRECT(CONCATENATE("'wind'!", $C24, ":", $C24)),   wind!$6:$6, AE$4) - SUMIFS(   INDIRECT(CONCATENATE("offshore!",$D24,":", $D24)), offshore!$4:$4, AE$4)</f>
        <v>1902</v>
      </c>
      <c r="AF24" s="48">
        <f ca="1">SUMIFS(  INDIRECT(CONCATENATE("'wind'!", $C24, ":", $C24)),   wind!$6:$6, AF$4) - SUMIFS(   INDIRECT(CONCATENATE("offshore!",$D24,":", $D24)), 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wind!$C:$C, 0)</f>
        <v>27</v>
      </c>
      <c r="D25" s="20">
        <f>IFERROR(MATCH($E25, offshore!$D:$D, 0), 1)</f>
        <v>1</v>
      </c>
      <c r="E25" s="17" t="s">
        <v>84</v>
      </c>
      <c r="F25" s="48">
        <f ca="1">SUMIFS(  INDIRECT(CONCATENATE("'wind'!", $C25, ":", $C25)),   wind!$6:$6, F$4) - SUMIFS(   INDIRECT(CONCATENATE("offshore!",$D25,":", $D25)), offshore!$4:$4, F$4)</f>
        <v>0</v>
      </c>
      <c r="G25" s="48">
        <f ca="1">SUMIFS(  INDIRECT(CONCATENATE("'wind'!", $C25, ":", $C25)),   wind!$6:$6, G$4) - SUMIFS(   INDIRECT(CONCATENATE("offshore!",$D25,":", $D25)), offshore!$4:$4, G$4)</f>
        <v>0</v>
      </c>
      <c r="H25" s="48">
        <f ca="1">SUMIFS(  INDIRECT(CONCATENATE("'wind'!", $C25, ":", $C25)),   wind!$6:$6, H$4) - SUMIFS(   INDIRECT(CONCATENATE("offshore!",$D25,":", $D25)), offshore!$4:$4, H$4)</f>
        <v>0</v>
      </c>
      <c r="I25" s="48">
        <f ca="1">SUMIFS(  INDIRECT(CONCATENATE("'wind'!", $C25, ":", $C25)),   wind!$6:$6, I$4) - SUMIFS(   INDIRECT(CONCATENATE("offshore!",$D25,":", $D25)), offshore!$4:$4, I$4)</f>
        <v>0</v>
      </c>
      <c r="J25" s="48">
        <f ca="1">SUMIFS(  INDIRECT(CONCATENATE("'wind'!", $C25, ":", $C25)),   wind!$6:$6, J$4) - SUMIFS(   INDIRECT(CONCATENATE("offshore!",$D25,":", $D25)), offshore!$4:$4, J$4)</f>
        <v>0</v>
      </c>
      <c r="K25" s="48">
        <f ca="1">SUMIFS(  INDIRECT(CONCATENATE("'wind'!", $C25, ":", $C25)),   wind!$6:$6, K$4) - SUMIFS(   INDIRECT(CONCATENATE("offshore!",$D25,":", $D25)), offshore!$4:$4, K$4)</f>
        <v>6</v>
      </c>
      <c r="L25" s="48">
        <f ca="1">SUMIFS(  INDIRECT(CONCATENATE("'wind'!", $C25, ":", $C25)),   wind!$6:$6, L$4) - SUMIFS(   INDIRECT(CONCATENATE("offshore!",$D25,":", $D25)), offshore!$4:$4, L$4)</f>
        <v>6</v>
      </c>
      <c r="M25" s="48">
        <f ca="1">SUMIFS(  INDIRECT(CONCATENATE("'wind'!", $C25, ":", $C25)),   wind!$6:$6, M$4) - SUMIFS(   INDIRECT(CONCATENATE("offshore!",$D25,":", $D25)), offshore!$4:$4, M$4)</f>
        <v>48</v>
      </c>
      <c r="N25" s="48">
        <f ca="1">SUMIFS(  INDIRECT(CONCATENATE("'wind'!", $C25, ":", $C25)),   wind!$6:$6, N$4) - SUMIFS(   INDIRECT(CONCATENATE("offshore!",$D25,":", $D25)), offshore!$4:$4, N$4)</f>
        <v>51</v>
      </c>
      <c r="O25" s="48">
        <f ca="1">SUMIFS(  INDIRECT(CONCATENATE("'wind'!", $C25, ":", $C25)),   wind!$6:$6, O$4) - SUMIFS(   INDIRECT(CONCATENATE("offshore!",$D25,":", $D25)), offshore!$4:$4, O$4)</f>
        <v>54</v>
      </c>
      <c r="P25" s="48">
        <f ca="1">SUMIFS(  INDIRECT(CONCATENATE("'wind'!", $C25, ":", $C25)),   wind!$6:$6, P$4) - SUMIFS(   INDIRECT(CONCATENATE("offshore!",$D25,":", $D25)), offshore!$4:$4, P$4)</f>
        <v>54</v>
      </c>
      <c r="Q25" s="48">
        <f ca="1">SUMIFS(  INDIRECT(CONCATENATE("'wind'!", $C25, ":", $C25)),   wind!$6:$6, Q$4) - SUMIFS(   INDIRECT(CONCATENATE("offshore!",$D25,":", $D25)), offshore!$4:$4, Q$4)</f>
        <v>91</v>
      </c>
      <c r="R25" s="48">
        <f ca="1">SUMIFS(  INDIRECT(CONCATENATE("'wind'!", $C25, ":", $C25)),   wind!$6:$6, R$4) - SUMIFS(   INDIRECT(CONCATENATE("offshore!",$D25,":", $D25)), offshore!$4:$4, R$4)</f>
        <v>163</v>
      </c>
      <c r="S25" s="48">
        <f ca="1">SUMIFS(  INDIRECT(CONCATENATE("'wind'!", $C25, ":", $C25)),   wind!$6:$6, S$4) - SUMIFS(   INDIRECT(CONCATENATE("offshore!",$D25,":", $D25)), offshore!$4:$4, S$4)</f>
        <v>179</v>
      </c>
      <c r="T25" s="48">
        <f ca="1">SUMIFS(  INDIRECT(CONCATENATE("'wind'!", $C25, ":", $C25)),   wind!$6:$6, T$4) - SUMIFS(   INDIRECT(CONCATENATE("offshore!",$D25,":", $D25)), offshore!$4:$4, T$4)</f>
        <v>225</v>
      </c>
      <c r="U25" s="48">
        <f ca="1">SUMIFS(  INDIRECT(CONCATENATE("'wind'!", $C25, ":", $C25)),   wind!$6:$6, U$4) - SUMIFS(   INDIRECT(CONCATENATE("offshore!",$D25,":", $D25)), offshore!$4:$4, U$4)</f>
        <v>279</v>
      </c>
      <c r="V25" s="48">
        <f ca="1">SUMIFS(  INDIRECT(CONCATENATE("'wind'!", $C25, ":", $C25)),   wind!$6:$6, V$4) - SUMIFS(   INDIRECT(CONCATENATE("offshore!",$D25,":", $D25)), offshore!$4:$4, V$4)</f>
        <v>279</v>
      </c>
      <c r="W25" s="48">
        <f ca="1">SUMIFS(  INDIRECT(CONCATENATE("'wind'!", $C25, ":", $C25)),   wind!$6:$6, W$4) - SUMIFS(   INDIRECT(CONCATENATE("offshore!",$D25,":", $D25)), offshore!$4:$4, W$4)</f>
        <v>421</v>
      </c>
      <c r="X25" s="48">
        <f ca="1">SUMIFS(  INDIRECT(CONCATENATE("'wind'!", $C25, ":", $C25)),   wind!$6:$6, X$4) - SUMIFS(   INDIRECT(CONCATENATE("offshore!",$D25,":", $D25)), offshore!$4:$4, X$4)</f>
        <v>421</v>
      </c>
      <c r="Y25" s="48">
        <f ca="1">SUMIFS(  INDIRECT(CONCATENATE("'wind'!", $C25, ":", $C25)),   wind!$6:$6, Y$4) - SUMIFS(   INDIRECT(CONCATENATE("offshore!",$D25,":", $D25)), offshore!$4:$4, Y$4)</f>
        <v>421</v>
      </c>
      <c r="Z25" s="48">
        <f ca="1">SUMIFS(  INDIRECT(CONCATENATE("'wind'!", $C25, ":", $C25)),   wind!$6:$6, Z$4) - SUMIFS(   INDIRECT(CONCATENATE("offshore!",$D25,":", $D25)), offshore!$4:$4, Z$4)</f>
        <v>439</v>
      </c>
      <c r="AA25" s="48">
        <f ca="1">SUMIFS(  INDIRECT(CONCATENATE("'wind'!", $C25, ":", $C25)),   wind!$6:$6, AA$4) - SUMIFS(   INDIRECT(CONCATENATE("offshore!",$D25,":", $D25)), offshore!$4:$4, AA$4)</f>
        <v>548</v>
      </c>
      <c r="AB25" s="48">
        <f ca="1">SUMIFS(  INDIRECT(CONCATENATE("'wind'!", $C25, ":", $C25)),   wind!$6:$6, AB$4) - SUMIFS(   INDIRECT(CONCATENATE("offshore!",$D25,":", $D25)), offshore!$4:$4, AB$4)</f>
        <v>548</v>
      </c>
      <c r="AC25" s="48">
        <f ca="1">SUMIFS(  INDIRECT(CONCATENATE("'wind'!", $C25, ":", $C25)),   wind!$6:$6, AC$4) - SUMIFS(   INDIRECT(CONCATENATE("offshore!",$D25,":", $D25)), offshore!$4:$4, AC$4)</f>
        <v>668</v>
      </c>
      <c r="AD25" s="48">
        <f ca="1">SUMIFS(  INDIRECT(CONCATENATE("'wind'!", $C25, ":", $C25)),   wind!$6:$6, AD$4) - SUMIFS(   INDIRECT(CONCATENATE("offshore!",$D25,":", $D25)), offshore!$4:$4, AD$4)</f>
        <v>740</v>
      </c>
      <c r="AE25" s="48">
        <f ca="1">SUMIFS(  INDIRECT(CONCATENATE("'wind'!", $C25, ":", $C25)),   wind!$6:$6, AE$4) - SUMIFS(   INDIRECT(CONCATENATE("offshore!",$D25,":", $D25)), offshore!$4:$4, AE$4)</f>
        <v>1208</v>
      </c>
      <c r="AF25" s="48">
        <f ca="1">SUMIFS(  INDIRECT(CONCATENATE("'wind'!", $C25, ":", $C25)),   wind!$6:$6, AF$4) - SUMIFS(   INDIRECT(CONCATENATE("offshore!",$D25,":", $D25)), 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wind!$C:$C, 0)</f>
        <v>28</v>
      </c>
      <c r="D26" s="20">
        <f>IFERROR(MATCH($E26, offshore!$D:$D, 0), 1)</f>
        <v>1</v>
      </c>
      <c r="E26" s="17" t="s">
        <v>85</v>
      </c>
      <c r="F26" s="48">
        <f ca="1">SUMIFS(  INDIRECT(CONCATENATE("'wind'!", $C26, ":", $C26)),   wind!$6:$6, F$4) - SUMIFS(   INDIRECT(CONCATENATE("offshore!",$D26,":", $D26)), offshore!$4:$4, F$4)</f>
        <v>0</v>
      </c>
      <c r="G26" s="48">
        <f ca="1">SUMIFS(  INDIRECT(CONCATENATE("'wind'!", $C26, ":", $C26)),   wind!$6:$6, G$4) - SUMIFS(   INDIRECT(CONCATENATE("offshore!",$D26,":", $D26)), offshore!$4:$4, G$4)</f>
        <v>0</v>
      </c>
      <c r="H26" s="48">
        <f ca="1">SUMIFS(  INDIRECT(CONCATENATE("'wind'!", $C26, ":", $C26)),   wind!$6:$6, H$4) - SUMIFS(   INDIRECT(CONCATENATE("offshore!",$D26,":", $D26)), offshore!$4:$4, H$4)</f>
        <v>0</v>
      </c>
      <c r="I26" s="48">
        <f ca="1">SUMIFS(  INDIRECT(CONCATENATE("'wind'!", $C26, ":", $C26)),   wind!$6:$6, I$4) - SUMIFS(   INDIRECT(CONCATENATE("offshore!",$D26,":", $D26)), offshore!$4:$4, I$4)</f>
        <v>0</v>
      </c>
      <c r="J26" s="48">
        <f ca="1">SUMIFS(  INDIRECT(CONCATENATE("'wind'!", $C26, ":", $C26)),   wind!$6:$6, J$4) - SUMIFS(   INDIRECT(CONCATENATE("offshore!",$D26,":", $D26)), offshore!$4:$4, J$4)</f>
        <v>0</v>
      </c>
      <c r="K26" s="48">
        <f ca="1">SUMIFS(  INDIRECT(CONCATENATE("'wind'!", $C26, ":", $C26)),   wind!$6:$6, K$4) - SUMIFS(   INDIRECT(CONCATENATE("offshore!",$D26,":", $D26)), offshore!$4:$4, K$4)</f>
        <v>0</v>
      </c>
      <c r="L26" s="48">
        <f ca="1">SUMIFS(  INDIRECT(CONCATENATE("'wind'!", $C26, ":", $C26)),   wind!$6:$6, L$4) - SUMIFS(   INDIRECT(CONCATENATE("offshore!",$D26,":", $D26)), offshore!$4:$4, L$4)</f>
        <v>0</v>
      </c>
      <c r="M26" s="48">
        <f ca="1">SUMIFS(  INDIRECT(CONCATENATE("'wind'!", $C26, ":", $C26)),   wind!$6:$6, M$4) - SUMIFS(   INDIRECT(CONCATENATE("offshore!",$D26,":", $D26)), offshore!$4:$4, M$4)</f>
        <v>0</v>
      </c>
      <c r="N26" s="48">
        <f ca="1">SUMIFS(  INDIRECT(CONCATENATE("'wind'!", $C26, ":", $C26)),   wind!$6:$6, N$4) - SUMIFS(   INDIRECT(CONCATENATE("offshore!",$D26,":", $D26)), offshore!$4:$4, N$4)</f>
        <v>0</v>
      </c>
      <c r="O26" s="48">
        <f ca="1">SUMIFS(  INDIRECT(CONCATENATE("'wind'!", $C26, ":", $C26)),   wind!$6:$6, O$4) - SUMIFS(   INDIRECT(CONCATENATE("offshore!",$D26,":", $D26)), offshore!$4:$4, O$4)</f>
        <v>0</v>
      </c>
      <c r="P26" s="48">
        <f ca="1">SUMIFS(  INDIRECT(CONCATENATE("'wind'!", $C26, ":", $C26)),   wind!$6:$6, P$4) - SUMIFS(   INDIRECT(CONCATENATE("offshore!",$D26,":", $D26)), offshore!$4:$4, P$4)</f>
        <v>0</v>
      </c>
      <c r="Q26" s="48">
        <f ca="1">SUMIFS(  INDIRECT(CONCATENATE("'wind'!", $C26, ":", $C26)),   wind!$6:$6, Q$4) - SUMIFS(   INDIRECT(CONCATENATE("offshore!",$D26,":", $D26)), offshore!$4:$4, Q$4)</f>
        <v>28</v>
      </c>
      <c r="R26" s="48">
        <f ca="1">SUMIFS(  INDIRECT(CONCATENATE("'wind'!", $C26, ":", $C26)),   wind!$6:$6, R$4) - SUMIFS(   INDIRECT(CONCATENATE("offshore!",$D26,":", $D26)), offshore!$4:$4, R$4)</f>
        <v>89</v>
      </c>
      <c r="S26" s="48">
        <f ca="1">SUMIFS(  INDIRECT(CONCATENATE("'wind'!", $C26, ":", $C26)),   wind!$6:$6, S$4) - SUMIFS(   INDIRECT(CONCATENATE("offshore!",$D26,":", $D26)), offshore!$4:$4, S$4)</f>
        <v>131</v>
      </c>
      <c r="T26" s="48">
        <f ca="1">SUMIFS(  INDIRECT(CONCATENATE("'wind'!", $C26, ":", $C26)),   wind!$6:$6, T$4) - SUMIFS(   INDIRECT(CONCATENATE("offshore!",$D26,":", $D26)), offshore!$4:$4, T$4)</f>
        <v>180</v>
      </c>
      <c r="U26" s="48">
        <f ca="1">SUMIFS(  INDIRECT(CONCATENATE("'wind'!", $C26, ":", $C26)),   wind!$6:$6, U$4) - SUMIFS(   INDIRECT(CONCATENATE("offshore!",$D26,":", $D26)), offshore!$4:$4, U$4)</f>
        <v>0</v>
      </c>
      <c r="V26" s="48">
        <f ca="1">SUMIFS(  INDIRECT(CONCATENATE("'wind'!", $C26, ":", $C26)),   wind!$6:$6, V$4) - SUMIFS(   INDIRECT(CONCATENATE("offshore!",$D26,":", $D26)), offshore!$4:$4, V$4)</f>
        <v>347</v>
      </c>
      <c r="W26" s="48">
        <f ca="1">SUMIFS(  INDIRECT(CONCATENATE("'wind'!", $C26, ":", $C26)),   wind!$6:$6, W$4) - SUMIFS(   INDIRECT(CONCATENATE("offshore!",$D26,":", $D26)), offshore!$4:$4, W$4)</f>
        <v>462</v>
      </c>
      <c r="X26" s="48">
        <f ca="1">SUMIFS(  INDIRECT(CONCATENATE("'wind'!", $C26, ":", $C26)),   wind!$6:$6, X$4) - SUMIFS(   INDIRECT(CONCATENATE("offshore!",$D26,":", $D26)), offshore!$4:$4, X$4)</f>
        <v>466</v>
      </c>
      <c r="Y26" s="48">
        <f ca="1">SUMIFS(  INDIRECT(CONCATENATE("'wind'!", $C26, ":", $C26)),   wind!$6:$6, Y$4) - SUMIFS(   INDIRECT(CONCATENATE("offshore!",$D26,":", $D26)), offshore!$4:$4, Y$4)</f>
        <v>583</v>
      </c>
      <c r="Z26" s="48">
        <f ca="1">SUMIFS(  INDIRECT(CONCATENATE("'wind'!", $C26, ":", $C26)),   wind!$6:$6, Z$4) - SUMIFS(   INDIRECT(CONCATENATE("offshore!",$D26,":", $D26)), offshore!$4:$4, Z$4)</f>
        <v>583</v>
      </c>
      <c r="AA26" s="48">
        <f ca="1">SUMIFS(  INDIRECT(CONCATENATE("'wind'!", $C26, ":", $C26)),   wind!$6:$6, AA$4) - SUMIFS(   INDIRECT(CONCATENATE("offshore!",$D26,":", $D26)), offshore!$4:$4, AA$4)</f>
        <v>652</v>
      </c>
      <c r="AB26" s="48">
        <f ca="1">SUMIFS(  INDIRECT(CONCATENATE("'wind'!", $C26, ":", $C26)),   wind!$6:$6, AB$4) - SUMIFS(   INDIRECT(CONCATENATE("offshore!",$D26,":", $D26)), offshore!$4:$4, AB$4)</f>
        <v>803</v>
      </c>
      <c r="AC26" s="48">
        <f ca="1">SUMIFS(  INDIRECT(CONCATENATE("'wind'!", $C26, ":", $C26)),   wind!$6:$6, AC$4) - SUMIFS(   INDIRECT(CONCATENATE("offshore!",$D26,":", $D26)), offshore!$4:$4, AC$4)</f>
        <v>990</v>
      </c>
      <c r="AD26" s="48">
        <f ca="1">SUMIFS(  INDIRECT(CONCATENATE("'wind'!", $C26, ":", $C26)),   wind!$6:$6, AD$4) - SUMIFS(   INDIRECT(CONCATENATE("offshore!",$D26,":", $D26)), offshore!$4:$4, AD$4)</f>
        <v>1100</v>
      </c>
      <c r="AE26" s="48">
        <f ca="1">SUMIFS(  INDIRECT(CONCATENATE("'wind'!", $C26, ":", $C26)),   wind!$6:$6, AE$4) - SUMIFS(   INDIRECT(CONCATENATE("offshore!",$D26,":", $D26)), offshore!$4:$4, AE$4)</f>
        <v>1256</v>
      </c>
      <c r="AF26" s="48">
        <f ca="1">SUMIFS(  INDIRECT(CONCATENATE("'wind'!", $C26, ":", $C26)),   wind!$6:$6, AF$4) - SUMIFS(   INDIRECT(CONCATENATE("offshore!",$D26,":", $D26)), 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wind!$C:$C, 0)</f>
        <v>29</v>
      </c>
      <c r="D27" s="20">
        <f>IFERROR(MATCH($E27, offshore!$D:$D, 0), 1)</f>
        <v>1</v>
      </c>
      <c r="E27" s="17" t="s">
        <v>86</v>
      </c>
      <c r="F27" s="48">
        <f ca="1">SUMIFS(  INDIRECT(CONCATENATE("'wind'!", $C27, ":", $C27)),   wind!$6:$6, F$4) - SUMIFS(   INDIRECT(CONCATENATE("offshore!",$D27,":", $D27)), offshore!$4:$4, F$4)</f>
        <v>0</v>
      </c>
      <c r="G27" s="48">
        <f ca="1">SUMIFS(  INDIRECT(CONCATENATE("'wind'!", $C27, ":", $C27)),   wind!$6:$6, G$4) - SUMIFS(   INDIRECT(CONCATENATE("offshore!",$D27,":", $D27)), offshore!$4:$4, G$4)</f>
        <v>0</v>
      </c>
      <c r="H27" s="48">
        <f ca="1">SUMIFS(  INDIRECT(CONCATENATE("'wind'!", $C27, ":", $C27)),   wind!$6:$6, H$4) - SUMIFS(   INDIRECT(CONCATENATE("offshore!",$D27,":", $D27)), offshore!$4:$4, H$4)</f>
        <v>0</v>
      </c>
      <c r="I27" s="48">
        <f ca="1">SUMIFS(  INDIRECT(CONCATENATE("'wind'!", $C27, ":", $C27)),   wind!$6:$6, I$4) - SUMIFS(   INDIRECT(CONCATENATE("offshore!",$D27,":", $D27)), offshore!$4:$4, I$4)</f>
        <v>0</v>
      </c>
      <c r="J27" s="48">
        <f ca="1">SUMIFS(  INDIRECT(CONCATENATE("'wind'!", $C27, ":", $C27)),   wind!$6:$6, J$4) - SUMIFS(   INDIRECT(CONCATENATE("offshore!",$D27,":", $D27)), offshore!$4:$4, J$4)</f>
        <v>2</v>
      </c>
      <c r="K27" s="48">
        <f ca="1">SUMIFS(  INDIRECT(CONCATENATE("'wind'!", $C27, ":", $C27)),   wind!$6:$6, K$4) - SUMIFS(   INDIRECT(CONCATENATE("offshore!",$D27,":", $D27)), offshore!$4:$4, K$4)</f>
        <v>2</v>
      </c>
      <c r="L27" s="48">
        <f ca="1">SUMIFS(  INDIRECT(CONCATENATE("'wind'!", $C27, ":", $C27)),   wind!$6:$6, L$4) - SUMIFS(   INDIRECT(CONCATENATE("offshore!",$D27,":", $D27)), offshore!$4:$4, L$4)</f>
        <v>6</v>
      </c>
      <c r="M27" s="48">
        <f ca="1">SUMIFS(  INDIRECT(CONCATENATE("'wind'!", $C27, ":", $C27)),   wind!$6:$6, M$4) - SUMIFS(   INDIRECT(CONCATENATE("offshore!",$D27,":", $D27)), offshore!$4:$4, M$4)</f>
        <v>32</v>
      </c>
      <c r="N27" s="48">
        <f ca="1">SUMIFS(  INDIRECT(CONCATENATE("'wind'!", $C27, ":", $C27)),   wind!$6:$6, N$4) - SUMIFS(   INDIRECT(CONCATENATE("offshore!",$D27,":", $D27)), offshore!$4:$4, N$4)</f>
        <v>32</v>
      </c>
      <c r="O27" s="48">
        <f ca="1">SUMIFS(  INDIRECT(CONCATENATE("'wind'!", $C27, ":", $C27)),   wind!$6:$6, O$4) - SUMIFS(   INDIRECT(CONCATENATE("offshore!",$D27,":", $D27)), offshore!$4:$4, O$4)</f>
        <v>59</v>
      </c>
      <c r="P27" s="48">
        <f ca="1">SUMIFS(  INDIRECT(CONCATENATE("'wind'!", $C27, ":", $C27)),   wind!$6:$6, P$4) - SUMIFS(   INDIRECT(CONCATENATE("offshore!",$D27,":", $D27)), offshore!$4:$4, P$4)</f>
        <v>78</v>
      </c>
      <c r="Q27" s="48">
        <f ca="1">SUMIFS(  INDIRECT(CONCATENATE("'wind'!", $C27, ":", $C27)),   wind!$6:$6, Q$4) - SUMIFS(   INDIRECT(CONCATENATE("offshore!",$D27,":", $D27)), offshore!$4:$4, Q$4)</f>
        <v>142</v>
      </c>
      <c r="R27" s="48">
        <f ca="1">SUMIFS(  INDIRECT(CONCATENATE("'wind'!", $C27, ":", $C27)),   wind!$6:$6, R$4) - SUMIFS(   INDIRECT(CONCATENATE("offshore!",$D27,":", $D27)), offshore!$4:$4, R$4)</f>
        <v>149</v>
      </c>
      <c r="S27" s="48">
        <f ca="1">SUMIFS(  INDIRECT(CONCATENATE("'wind'!", $C27, ":", $C27)),   wind!$6:$6, S$4) - SUMIFS(   INDIRECT(CONCATENATE("offshore!",$D27,":", $D27)), offshore!$4:$4, S$4)</f>
        <v>184</v>
      </c>
      <c r="T27" s="48">
        <f ca="1">SUMIFS(  INDIRECT(CONCATENATE("'wind'!", $C27, ":", $C27)),   wind!$6:$6, T$4) - SUMIFS(   INDIRECT(CONCATENATE("offshore!",$D27,":", $D27)), offshore!$4:$4, T$4)</f>
        <v>269</v>
      </c>
      <c r="U27" s="48">
        <f ca="1">SUMIFS(  INDIRECT(CONCATENATE("'wind'!", $C27, ":", $C27)),   wind!$6:$6, U$4) - SUMIFS(   INDIRECT(CONCATENATE("offshore!",$D27,":", $D27)), offshore!$4:$4, U$4)</f>
        <v>280</v>
      </c>
      <c r="V27" s="48">
        <f ca="1">SUMIFS(  INDIRECT(CONCATENATE("'wind'!", $C27, ":", $C27)),   wind!$6:$6, V$4) - SUMIFS(   INDIRECT(CONCATENATE("offshore!",$D27,":", $D27)), offshore!$4:$4, V$4)</f>
        <v>302</v>
      </c>
      <c r="W27" s="48">
        <f ca="1">SUMIFS(  INDIRECT(CONCATENATE("'wind'!", $C27, ":", $C27)),   wind!$6:$6, W$4) - SUMIFS(   INDIRECT(CONCATENATE("offshore!",$D27,":", $D27)), offshore!$4:$4, W$4)</f>
        <v>302</v>
      </c>
      <c r="X27" s="48">
        <f ca="1">SUMIFS(  INDIRECT(CONCATENATE("'wind'!", $C27, ":", $C27)),   wind!$6:$6, X$4) - SUMIFS(   INDIRECT(CONCATENATE("offshore!",$D27,":", $D27)), offshore!$4:$4, X$4)</f>
        <v>310</v>
      </c>
      <c r="Y27" s="48">
        <f ca="1">SUMIFS(  INDIRECT(CONCATENATE("'wind'!", $C27, ":", $C27)),   wind!$6:$6, Y$4) - SUMIFS(   INDIRECT(CONCATENATE("offshore!",$D27,":", $D27)), offshore!$4:$4, Y$4)</f>
        <v>310</v>
      </c>
      <c r="Z27" s="48">
        <f ca="1">SUMIFS(  INDIRECT(CONCATENATE("'wind'!", $C27, ":", $C27)),   wind!$6:$6, Z$4) - SUMIFS(   INDIRECT(CONCATENATE("offshore!",$D27,":", $D27)), offshore!$4:$4, Z$4)</f>
        <v>310</v>
      </c>
      <c r="AA27" s="48">
        <f ca="1">SUMIFS(  INDIRECT(CONCATENATE("'wind'!", $C27, ":", $C27)),   wind!$6:$6, AA$4) - SUMIFS(   INDIRECT(CONCATENATE("offshore!",$D27,":", $D27)), offshore!$4:$4, AA$4)</f>
        <v>320</v>
      </c>
      <c r="AB27" s="48">
        <f ca="1">SUMIFS(  INDIRECT(CONCATENATE("'wind'!", $C27, ":", $C27)),   wind!$6:$6, AB$4) - SUMIFS(   INDIRECT(CONCATENATE("offshore!",$D27,":", $D27)), offshore!$4:$4, AB$4)</f>
        <v>320</v>
      </c>
      <c r="AC27" s="48">
        <f ca="1">SUMIFS(  INDIRECT(CONCATENATE("'wind'!", $C27, ":", $C27)),   wind!$6:$6, AC$4) - SUMIFS(   INDIRECT(CONCATENATE("offshore!",$D27,":", $D27)), offshore!$4:$4, AC$4)</f>
        <v>320</v>
      </c>
      <c r="AD27" s="48">
        <f ca="1">SUMIFS(  INDIRECT(CONCATENATE("'wind'!", $C27, ":", $C27)),   wind!$6:$6, AD$4) - SUMIFS(   INDIRECT(CONCATENATE("offshore!",$D27,":", $D27)), offshore!$4:$4, AD$4)</f>
        <v>320</v>
      </c>
      <c r="AE27" s="48">
        <f ca="1">SUMIFS(  INDIRECT(CONCATENATE("'wind'!", $C27, ":", $C27)),   wind!$6:$6, AE$4) - SUMIFS(   INDIRECT(CONCATENATE("offshore!",$D27,":", $D27)), offshore!$4:$4, AE$4)</f>
        <v>376</v>
      </c>
      <c r="AF27" s="48">
        <f ca="1">SUMIFS(  INDIRECT(CONCATENATE("'wind'!", $C27, ":", $C27)),   wind!$6:$6, AF$4) - SUMIFS(   INDIRECT(CONCATENATE("offshore!",$D27,":", $D27)), 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wind!$C:$C, 0)</f>
        <v>30</v>
      </c>
      <c r="D28" s="20">
        <f>IFERROR(MATCH($E28, offshore!$D:$D, 0), 1)</f>
        <v>1</v>
      </c>
      <c r="E28" s="17" t="s">
        <v>87</v>
      </c>
      <c r="F28" s="48">
        <f ca="1">SUMIFS(  INDIRECT(CONCATENATE("'wind'!", $C28, ":", $C28)),   wind!$6:$6, F$4) - SUMIFS(   INDIRECT(CONCATENATE("offshore!",$D28,":", $D28)), offshore!$4:$4, F$4)</f>
        <v>0</v>
      </c>
      <c r="G28" s="48">
        <f ca="1">SUMIFS(  INDIRECT(CONCATENATE("'wind'!", $C28, ":", $C28)),   wind!$6:$6, G$4) - SUMIFS(   INDIRECT(CONCATENATE("offshore!",$D28,":", $D28)), offshore!$4:$4, G$4)</f>
        <v>0</v>
      </c>
      <c r="H28" s="48">
        <f ca="1">SUMIFS(  INDIRECT(CONCATENATE("'wind'!", $C28, ":", $C28)),   wind!$6:$6, H$4) - SUMIFS(   INDIRECT(CONCATENATE("offshore!",$D28,":", $D28)), offshore!$4:$4, H$4)</f>
        <v>0</v>
      </c>
      <c r="I28" s="48">
        <f ca="1">SUMIFS(  INDIRECT(CONCATENATE("'wind'!", $C28, ":", $C28)),   wind!$6:$6, I$4) - SUMIFS(   INDIRECT(CONCATENATE("offshore!",$D28,":", $D28)), offshore!$4:$4, I$4)</f>
        <v>0</v>
      </c>
      <c r="J28" s="48">
        <f ca="1">SUMIFS(  INDIRECT(CONCATENATE("'wind'!", $C28, ":", $C28)),   wind!$6:$6, J$4) - SUMIFS(   INDIRECT(CONCATENATE("offshore!",$D28,":", $D28)), offshore!$4:$4, J$4)</f>
        <v>0</v>
      </c>
      <c r="K28" s="48">
        <f ca="1">SUMIFS(  INDIRECT(CONCATENATE("'wind'!", $C28, ":", $C28)),   wind!$6:$6, K$4) - SUMIFS(   INDIRECT(CONCATENATE("offshore!",$D28,":", $D28)), offshore!$4:$4, K$4)</f>
        <v>0</v>
      </c>
      <c r="L28" s="48">
        <f ca="1">SUMIFS(  INDIRECT(CONCATENATE("'wind'!", $C28, ":", $C28)),   wind!$6:$6, L$4) - SUMIFS(   INDIRECT(CONCATENATE("offshore!",$D28,":", $D28)), offshore!$4:$4, L$4)</f>
        <v>10</v>
      </c>
      <c r="M28" s="48">
        <f ca="1">SUMIFS(  INDIRECT(CONCATENATE("'wind'!", $C28, ":", $C28)),   wind!$6:$6, M$4) - SUMIFS(   INDIRECT(CONCATENATE("offshore!",$D28,":", $D28)), offshore!$4:$4, M$4)</f>
        <v>10</v>
      </c>
      <c r="N28" s="48">
        <f ca="1">SUMIFS(  INDIRECT(CONCATENATE("'wind'!", $C28, ":", $C28)),   wind!$6:$6, N$4) - SUMIFS(   INDIRECT(CONCATENATE("offshore!",$D28,":", $D28)), offshore!$4:$4, N$4)</f>
        <v>36</v>
      </c>
      <c r="O28" s="48">
        <f ca="1">SUMIFS(  INDIRECT(CONCATENATE("'wind'!", $C28, ":", $C28)),   wind!$6:$6, O$4) - SUMIFS(   INDIRECT(CONCATENATE("offshore!",$D28,":", $D28)), offshore!$4:$4, O$4)</f>
        <v>57</v>
      </c>
      <c r="P28" s="48">
        <f ca="1">SUMIFS(  INDIRECT(CONCATENATE("'wind'!", $C28, ":", $C28)),   wind!$6:$6, P$4) - SUMIFS(   INDIRECT(CONCATENATE("offshore!",$D28,":", $D28)), offshore!$4:$4, P$4)</f>
        <v>120</v>
      </c>
      <c r="Q28" s="48">
        <f ca="1">SUMIFS(  INDIRECT(CONCATENATE("'wind'!", $C28, ":", $C28)),   wind!$6:$6, Q$4) - SUMIFS(   INDIRECT(CONCATENATE("offshore!",$D28,":", $D28)), offshore!$4:$4, Q$4)</f>
        <v>177</v>
      </c>
      <c r="R28" s="48">
        <f ca="1">SUMIFS(  INDIRECT(CONCATENATE("'wind'!", $C28, ":", $C28)),   wind!$6:$6, R$4) - SUMIFS(   INDIRECT(CONCATENATE("offshore!",$D28,":", $D28)), offshore!$4:$4, R$4)</f>
        <v>375</v>
      </c>
      <c r="S28" s="48">
        <f ca="1">SUMIFS(  INDIRECT(CONCATENATE("'wind'!", $C28, ":", $C28)),   wind!$6:$6, S$4) - SUMIFS(   INDIRECT(CONCATENATE("offshore!",$D28,":", $D28)), offshore!$4:$4, S$4)</f>
        <v>612</v>
      </c>
      <c r="T28" s="48">
        <f ca="1">SUMIFS(  INDIRECT(CONCATENATE("'wind'!", $C28, ":", $C28)),   wind!$6:$6, T$4) - SUMIFS(   INDIRECT(CONCATENATE("offshore!",$D28,":", $D28)), offshore!$4:$4, T$4)</f>
        <v>674</v>
      </c>
      <c r="U28" s="48">
        <f ca="1">SUMIFS(  INDIRECT(CONCATENATE("'wind'!", $C28, ":", $C28)),   wind!$6:$6, U$4) - SUMIFS(   INDIRECT(CONCATENATE("offshore!",$D28,":", $D28)), offshore!$4:$4, U$4)</f>
        <v>681</v>
      </c>
      <c r="V28" s="48">
        <f ca="1">SUMIFS(  INDIRECT(CONCATENATE("'wind'!", $C28, ":", $C28)),   wind!$6:$6, V$4) - SUMIFS(   INDIRECT(CONCATENATE("offshore!",$D28,":", $D28)), offshore!$4:$4, V$4)</f>
        <v>691</v>
      </c>
      <c r="W28" s="48">
        <f ca="1">SUMIFS(  INDIRECT(CONCATENATE("'wind'!", $C28, ":", $C28)),   wind!$6:$6, W$4) - SUMIFS(   INDIRECT(CONCATENATE("offshore!",$D28,":", $D28)), offshore!$4:$4, W$4)</f>
        <v>691</v>
      </c>
      <c r="X28" s="48">
        <f ca="1">SUMIFS(  INDIRECT(CONCATENATE("'wind'!", $C28, ":", $C28)),   wind!$6:$6, X$4) - SUMIFS(   INDIRECT(CONCATENATE("offshore!",$D28,":", $D28)), offshore!$4:$4, X$4)</f>
        <v>691</v>
      </c>
      <c r="Y28" s="48">
        <f ca="1">SUMIFS(  INDIRECT(CONCATENATE("'wind'!", $C28, ":", $C28)),   wind!$6:$6, Y$4) - SUMIFS(   INDIRECT(CONCATENATE("offshore!",$D28,":", $D28)), offshore!$4:$4, Y$4)</f>
        <v>691</v>
      </c>
      <c r="Z28" s="48">
        <f ca="1">SUMIFS(  INDIRECT(CONCATENATE("'wind'!", $C28, ":", $C28)),   wind!$6:$6, Z$4) - SUMIFS(   INDIRECT(CONCATENATE("offshore!",$D28,":", $D28)), offshore!$4:$4, Z$4)</f>
        <v>691</v>
      </c>
      <c r="AA28" s="48">
        <f ca="1">SUMIFS(  INDIRECT(CONCATENATE("'wind'!", $C28, ":", $C28)),   wind!$6:$6, AA$4) - SUMIFS(   INDIRECT(CONCATENATE("offshore!",$D28,":", $D28)), offshore!$4:$4, AA$4)</f>
        <v>691</v>
      </c>
      <c r="AB28" s="48">
        <f ca="1">SUMIFS(  INDIRECT(CONCATENATE("'wind'!", $C28, ":", $C28)),   wind!$6:$6, AB$4) - SUMIFS(   INDIRECT(CONCATENATE("offshore!",$D28,":", $D28)), offshore!$4:$4, AB$4)</f>
        <v>691</v>
      </c>
      <c r="AC28" s="48">
        <f ca="1">SUMIFS(  INDIRECT(CONCATENATE("'wind'!", $C28, ":", $C28)),   wind!$6:$6, AC$4) - SUMIFS(   INDIRECT(CONCATENATE("offshore!",$D28,":", $D28)), offshore!$4:$4, AC$4)</f>
        <v>707</v>
      </c>
      <c r="AD28" s="48">
        <f ca="1">SUMIFS(  INDIRECT(CONCATENATE("'wind'!", $C28, ":", $C28)),   wind!$6:$6, AD$4) - SUMIFS(   INDIRECT(CONCATENATE("offshore!",$D28,":", $D28)), offshore!$4:$4, AD$4)</f>
        <v>707</v>
      </c>
      <c r="AE28" s="48">
        <f ca="1">SUMIFS(  INDIRECT(CONCATENATE("'wind'!", $C28, ":", $C28)),   wind!$6:$6, AE$4) - SUMIFS(   INDIRECT(CONCATENATE("offshore!",$D28,":", $D28)), offshore!$4:$4, AE$4)</f>
        <v>706</v>
      </c>
      <c r="AF28" s="48">
        <f ca="1">SUMIFS(  INDIRECT(CONCATENATE("'wind'!", $C28, ":", $C28)),   wind!$6:$6, AF$4) - SUMIFS(   INDIRECT(CONCATENATE("offshore!",$D28,":", $D28)), 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wind!$C:$C, 0)</f>
        <v>31</v>
      </c>
      <c r="D29" s="20">
        <f>IFERROR(MATCH($E29, offshore!$D:$D, 0), 1)</f>
        <v>1</v>
      </c>
      <c r="E29" s="17" t="s">
        <v>88</v>
      </c>
      <c r="F29" s="48">
        <f ca="1">SUMIFS(  INDIRECT(CONCATENATE("'wind'!", $C29, ":", $C29)),   wind!$6:$6, F$4) - SUMIFS(   INDIRECT(CONCATENATE("offshore!",$D29,":", $D29)), offshore!$4:$4, F$4)</f>
        <v>0</v>
      </c>
      <c r="G29" s="48">
        <f ca="1">SUMIFS(  INDIRECT(CONCATENATE("'wind'!", $C29, ":", $C29)),   wind!$6:$6, G$4) - SUMIFS(   INDIRECT(CONCATENATE("offshore!",$D29,":", $D29)), offshore!$4:$4, G$4)</f>
        <v>0</v>
      </c>
      <c r="H29" s="48">
        <f ca="1">SUMIFS(  INDIRECT(CONCATENATE("'wind'!", $C29, ":", $C29)),   wind!$6:$6, H$4) - SUMIFS(   INDIRECT(CONCATENATE("offshore!",$D29,":", $D29)), offshore!$4:$4, H$4)</f>
        <v>0</v>
      </c>
      <c r="I29" s="48">
        <f ca="1">SUMIFS(  INDIRECT(CONCATENATE("'wind'!", $C29, ":", $C29)),   wind!$6:$6, I$4) - SUMIFS(   INDIRECT(CONCATENATE("offshore!",$D29,":", $D29)), offshore!$4:$4, I$4)</f>
        <v>0</v>
      </c>
      <c r="J29" s="48">
        <f ca="1">SUMIFS(  INDIRECT(CONCATENATE("'wind'!", $C29, ":", $C29)),   wind!$6:$6, J$4) - SUMIFS(   INDIRECT(CONCATENATE("offshore!",$D29,":", $D29)), offshore!$4:$4, J$4)</f>
        <v>0</v>
      </c>
      <c r="K29" s="48">
        <f ca="1">SUMIFS(  INDIRECT(CONCATENATE("'wind'!", $C29, ":", $C29)),   wind!$6:$6, K$4) - SUMIFS(   INDIRECT(CONCATENATE("offshore!",$D29,":", $D29)), offshore!$4:$4, K$4)</f>
        <v>0</v>
      </c>
      <c r="L29" s="48">
        <f ca="1">SUMIFS(  INDIRECT(CONCATENATE("'wind'!", $C29, ":", $C29)),   wind!$6:$6, L$4) - SUMIFS(   INDIRECT(CONCATENATE("offshore!",$D29,":", $D29)), offshore!$4:$4, L$4)</f>
        <v>0</v>
      </c>
      <c r="M29" s="48">
        <f ca="1">SUMIFS(  INDIRECT(CONCATENATE("'wind'!", $C29, ":", $C29)),   wind!$6:$6, M$4) - SUMIFS(   INDIRECT(CONCATENATE("offshore!",$D29,":", $D29)), offshore!$4:$4, M$4)</f>
        <v>0</v>
      </c>
      <c r="N29" s="48">
        <f ca="1">SUMIFS(  INDIRECT(CONCATENATE("'wind'!", $C29, ":", $C29)),   wind!$6:$6, N$4) - SUMIFS(   INDIRECT(CONCATENATE("offshore!",$D29,":", $D29)), offshore!$4:$4, N$4)</f>
        <v>0</v>
      </c>
      <c r="O29" s="48">
        <f ca="1">SUMIFS(  INDIRECT(CONCATENATE("'wind'!", $C29, ":", $C29)),   wind!$6:$6, O$4) - SUMIFS(   INDIRECT(CONCATENATE("offshore!",$D29,":", $D29)), offshore!$4:$4, O$4)</f>
        <v>0</v>
      </c>
      <c r="P29" s="48">
        <f ca="1">SUMIFS(  INDIRECT(CONCATENATE("'wind'!", $C29, ":", $C29)),   wind!$6:$6, P$4) - SUMIFS(   INDIRECT(CONCATENATE("offshore!",$D29,":", $D29)), offshore!$4:$4, P$4)</f>
        <v>0</v>
      </c>
      <c r="Q29" s="48">
        <f ca="1">SUMIFS(  INDIRECT(CONCATENATE("'wind'!", $C29, ":", $C29)),   wind!$6:$6, Q$4) - SUMIFS(   INDIRECT(CONCATENATE("offshore!",$D29,":", $D29)), offshore!$4:$4, Q$4)</f>
        <v>0</v>
      </c>
      <c r="R29" s="48">
        <f ca="1">SUMIFS(  INDIRECT(CONCATENATE("'wind'!", $C29, ":", $C29)),   wind!$6:$6, R$4) - SUMIFS(   INDIRECT(CONCATENATE("offshore!",$D29,":", $D29)), offshore!$4:$4, R$4)</f>
        <v>0</v>
      </c>
      <c r="S29" s="48">
        <f ca="1">SUMIFS(  INDIRECT(CONCATENATE("'wind'!", $C29, ":", $C29)),   wind!$6:$6, S$4) - SUMIFS(   INDIRECT(CONCATENATE("offshore!",$D29,":", $D29)), offshore!$4:$4, S$4)</f>
        <v>0</v>
      </c>
      <c r="T29" s="48">
        <f ca="1">SUMIFS(  INDIRECT(CONCATENATE("'wind'!", $C29, ":", $C29)),   wind!$6:$6, T$4) - SUMIFS(   INDIRECT(CONCATENATE("offshore!",$D29,":", $D29)), offshore!$4:$4, T$4)</f>
        <v>0</v>
      </c>
      <c r="U29" s="48">
        <f ca="1">SUMIFS(  INDIRECT(CONCATENATE("'wind'!", $C29, ":", $C29)),   wind!$6:$6, U$4) - SUMIFS(   INDIRECT(CONCATENATE("offshore!",$D29,":", $D29)), offshore!$4:$4, U$4)</f>
        <v>0</v>
      </c>
      <c r="V29" s="48">
        <f ca="1">SUMIFS(  INDIRECT(CONCATENATE("'wind'!", $C29, ":", $C29)),   wind!$6:$6, V$4) - SUMIFS(   INDIRECT(CONCATENATE("offshore!",$D29,":", $D29)), offshore!$4:$4, V$4)</f>
        <v>0</v>
      </c>
      <c r="W29" s="48">
        <f ca="1">SUMIFS(  INDIRECT(CONCATENATE("'wind'!", $C29, ":", $C29)),   wind!$6:$6, W$4) - SUMIFS(   INDIRECT(CONCATENATE("offshore!",$D29,":", $D29)), offshore!$4:$4, W$4)</f>
        <v>0</v>
      </c>
      <c r="X29" s="48">
        <f ca="1">SUMIFS(  INDIRECT(CONCATENATE("'wind'!", $C29, ":", $C29)),   wind!$6:$6, X$4) - SUMIFS(   INDIRECT(CONCATENATE("offshore!",$D29,":", $D29)), offshore!$4:$4, X$4)</f>
        <v>10</v>
      </c>
      <c r="Y29" s="48">
        <f ca="1">SUMIFS(  INDIRECT(CONCATENATE("'wind'!", $C29, ":", $C29)),   wind!$6:$6, Y$4) - SUMIFS(   INDIRECT(CONCATENATE("offshore!",$D29,":", $D29)), offshore!$4:$4, Y$4)</f>
        <v>18</v>
      </c>
      <c r="Z29" s="48">
        <f ca="1">SUMIFS(  INDIRECT(CONCATENATE("'wind'!", $C29, ":", $C29)),   wind!$6:$6, Z$4) - SUMIFS(   INDIRECT(CONCATENATE("offshore!",$D29,":", $D29)), offshore!$4:$4, Z$4)</f>
        <v>374</v>
      </c>
      <c r="AA29" s="48">
        <f ca="1">SUMIFS(  INDIRECT(CONCATENATE("'wind'!", $C29, ":", $C29)),   wind!$6:$6, AA$4) - SUMIFS(   INDIRECT(CONCATENATE("offshore!",$D29,":", $D29)), offshore!$4:$4, AA$4)</f>
        <v>374</v>
      </c>
      <c r="AB29" s="48">
        <f ca="1">SUMIFS(  INDIRECT(CONCATENATE("'wind'!", $C29, ":", $C29)),   wind!$6:$6, AB$4) - SUMIFS(   INDIRECT(CONCATENATE("offshore!",$D29,":", $D29)), offshore!$4:$4, AB$4)</f>
        <v>374</v>
      </c>
      <c r="AC29" s="48">
        <f ca="1">SUMIFS(  INDIRECT(CONCATENATE("'wind'!", $C29, ":", $C29)),   wind!$6:$6, AC$4) - SUMIFS(   INDIRECT(CONCATENATE("offshore!",$D29,":", $D29)), offshore!$4:$4, AC$4)</f>
        <v>374</v>
      </c>
      <c r="AD29" s="48">
        <f ca="1">SUMIFS(  INDIRECT(CONCATENATE("'wind'!", $C29, ":", $C29)),   wind!$6:$6, AD$4) - SUMIFS(   INDIRECT(CONCATENATE("offshore!",$D29,":", $D29)), offshore!$4:$4, AD$4)</f>
        <v>374</v>
      </c>
      <c r="AE29" s="48">
        <f ca="1">SUMIFS(  INDIRECT(CONCATENATE("'wind'!", $C29, ":", $C29)),   wind!$6:$6, AE$4) - SUMIFS(   INDIRECT(CONCATENATE("offshore!",$D29,":", $D29)), offshore!$4:$4, AE$4)</f>
        <v>512</v>
      </c>
      <c r="AF29" s="48">
        <f ca="1">SUMIFS(  INDIRECT(CONCATENATE("'wind'!", $C29, ":", $C29)),   wind!$6:$6, AF$4) - SUMIFS(   INDIRECT(CONCATENATE("offshore!",$D29,":", $D29)), 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wind!$C:$C, 0)</f>
        <v>32</v>
      </c>
      <c r="D30" s="20">
        <f>IFERROR(MATCH($E30, offshore!$D:$D, 0), 1)</f>
        <v>1</v>
      </c>
      <c r="E30" s="17" t="s">
        <v>89</v>
      </c>
      <c r="F30" s="48">
        <f ca="1">SUMIFS(  INDIRECT(CONCATENATE("'wind'!", $C30, ":", $C30)),   wind!$6:$6, F$4) - SUMIFS(   INDIRECT(CONCATENATE("offshore!",$D30,":", $D30)), offshore!$4:$4, F$4)</f>
        <v>0</v>
      </c>
      <c r="G30" s="48">
        <f ca="1">SUMIFS(  INDIRECT(CONCATENATE("'wind'!", $C30, ":", $C30)),   wind!$6:$6, G$4) - SUMIFS(   INDIRECT(CONCATENATE("offshore!",$D30,":", $D30)), offshore!$4:$4, G$4)</f>
        <v>0</v>
      </c>
      <c r="H30" s="48">
        <f ca="1">SUMIFS(  INDIRECT(CONCATENATE("'wind'!", $C30, ":", $C30)),   wind!$6:$6, H$4) - SUMIFS(   INDIRECT(CONCATENATE("offshore!",$D30,":", $D30)), offshore!$4:$4, H$4)</f>
        <v>0</v>
      </c>
      <c r="I30" s="48">
        <f ca="1">SUMIFS(  INDIRECT(CONCATENATE("'wind'!", $C30, ":", $C30)),   wind!$6:$6, I$4) - SUMIFS(   INDIRECT(CONCATENATE("offshore!",$D30,":", $D30)), offshore!$4:$4, I$4)</f>
        <v>0</v>
      </c>
      <c r="J30" s="48">
        <f ca="1">SUMIFS(  INDIRECT(CONCATENATE("'wind'!", $C30, ":", $C30)),   wind!$6:$6, J$4) - SUMIFS(   INDIRECT(CONCATENATE("offshore!",$D30,":", $D30)), offshore!$4:$4, J$4)</f>
        <v>3</v>
      </c>
      <c r="K30" s="48">
        <f ca="1">SUMIFS(  INDIRECT(CONCATENATE("'wind'!", $C30, ":", $C30)),   wind!$6:$6, K$4) - SUMIFS(   INDIRECT(CONCATENATE("offshore!",$D30,":", $D30)), offshore!$4:$4, K$4)</f>
        <v>9</v>
      </c>
      <c r="L30" s="48">
        <f ca="1">SUMIFS(  INDIRECT(CONCATENATE("'wind'!", $C30, ":", $C30)),   wind!$6:$6, L$4) - SUMIFS(   INDIRECT(CONCATENATE("offshore!",$D30,":", $D30)), offshore!$4:$4, L$4)</f>
        <v>17</v>
      </c>
      <c r="M30" s="48">
        <f ca="1">SUMIFS(  INDIRECT(CONCATENATE("'wind'!", $C30, ":", $C30)),   wind!$6:$6, M$4) - SUMIFS(   INDIRECT(CONCATENATE("offshore!",$D30,":", $D30)), offshore!$4:$4, M$4)</f>
        <v>28</v>
      </c>
      <c r="N30" s="48">
        <f ca="1">SUMIFS(  INDIRECT(CONCATENATE("'wind'!", $C30, ":", $C30)),   wind!$6:$6, N$4) - SUMIFS(   INDIRECT(CONCATENATE("offshore!",$D30,":", $D30)), offshore!$4:$4, N$4)</f>
        <v>54</v>
      </c>
      <c r="O30" s="48">
        <f ca="1">SUMIFS(  INDIRECT(CONCATENATE("'wind'!", $C30, ":", $C30)),   wind!$6:$6, O$4) - SUMIFS(   INDIRECT(CONCATENATE("offshore!",$D30,":", $D30)), offshore!$4:$4, O$4)</f>
        <v>116</v>
      </c>
      <c r="P30" s="48">
        <f ca="1">SUMIFS(  INDIRECT(CONCATENATE("'wind'!", $C30, ":", $C30)),   wind!$6:$6, P$4) - SUMIFS(   INDIRECT(CONCATENATE("offshore!",$D30,":", $D30)), offshore!$4:$4, P$4)</f>
        <v>150</v>
      </c>
      <c r="Q30" s="48">
        <f ca="1">SUMIFS(  INDIRECT(CONCATENATE("'wind'!", $C30, ":", $C30)),   wind!$6:$6, Q$4) - SUMIFS(   INDIRECT(CONCATENATE("offshore!",$D30,":", $D30)), offshore!$4:$4, Q$4)</f>
        <v>192</v>
      </c>
      <c r="R30" s="48">
        <f ca="1">SUMIFS(  INDIRECT(CONCATENATE("'wind'!", $C30, ":", $C30)),   wind!$6:$6, R$4) - SUMIFS(   INDIRECT(CONCATENATE("offshore!",$D30,":", $D30)), offshore!$4:$4, R$4)</f>
        <v>215</v>
      </c>
      <c r="S30" s="48">
        <f ca="1">SUMIFS(  INDIRECT(CONCATENATE("'wind'!", $C30, ":", $C30)),   wind!$6:$6, S$4) - SUMIFS(   INDIRECT(CONCATENATE("offshore!",$D30,":", $D30)), offshore!$4:$4, S$4)</f>
        <v>217</v>
      </c>
      <c r="T30" s="48">
        <f ca="1">SUMIFS(  INDIRECT(CONCATENATE("'wind'!", $C30, ":", $C30)),   wind!$6:$6, T$4) - SUMIFS(   INDIRECT(CONCATENATE("offshore!",$D30,":", $D30)), offshore!$4:$4, T$4)</f>
        <v>260</v>
      </c>
      <c r="U30" s="48">
        <f ca="1">SUMIFS(  INDIRECT(CONCATENATE("'wind'!", $C30, ":", $C30)),   wind!$6:$6, U$4) - SUMIFS(   INDIRECT(CONCATENATE("offshore!",$D30,":", $D30)), offshore!$4:$4, U$4)</f>
        <v>269</v>
      </c>
      <c r="V30" s="48">
        <f ca="1">SUMIFS(  INDIRECT(CONCATENATE("'wind'!", $C30, ":", $C30)),   wind!$6:$6, V$4) - SUMIFS(   INDIRECT(CONCATENATE("offshore!",$D30,":", $D30)), offshore!$4:$4, V$4)</f>
        <v>281</v>
      </c>
      <c r="W30" s="48">
        <f ca="1">SUMIFS(  INDIRECT(CONCATENATE("'wind'!", $C30, ":", $C30)),   wind!$6:$6, W$4) - SUMIFS(   INDIRECT(CONCATENATE("offshore!",$D30,":", $D30)), offshore!$4:$4, W$4)</f>
        <v>281</v>
      </c>
      <c r="X30" s="48">
        <f ca="1">SUMIFS(  INDIRECT(CONCATENATE("'wind'!", $C30, ":", $C30)),   wind!$6:$6, X$4) - SUMIFS(   INDIRECT(CONCATENATE("offshore!",$D30,":", $D30)), offshore!$4:$4, X$4)</f>
        <v>281</v>
      </c>
      <c r="Y30" s="48">
        <f ca="1">SUMIFS(  INDIRECT(CONCATENATE("'wind'!", $C30, ":", $C30)),   wind!$6:$6, Y$4) - SUMIFS(   INDIRECT(CONCATENATE("offshore!",$D30,":", $D30)), offshore!$4:$4, Y$4)</f>
        <v>308</v>
      </c>
      <c r="Z30" s="48">
        <f ca="1">SUMIFS(  INDIRECT(CONCATENATE("'wind'!", $C30, ":", $C30)),   wind!$6:$6, Z$4) - SUMIFS(   INDIRECT(CONCATENATE("offshore!",$D30,":", $D30)), offshore!$4:$4, Z$4)</f>
        <v>317</v>
      </c>
      <c r="AA30" s="48">
        <f ca="1">SUMIFS(  INDIRECT(CONCATENATE("'wind'!", $C30, ":", $C30)),   wind!$6:$6, AA$4) - SUMIFS(   INDIRECT(CONCATENATE("offshore!",$D30,":", $D30)), offshore!$4:$4, AA$4)</f>
        <v>337</v>
      </c>
      <c r="AB30" s="48">
        <f ca="1">SUMIFS(  INDIRECT(CONCATENATE("'wind'!", $C30, ":", $C30)),   wind!$6:$6, AB$4) - SUMIFS(   INDIRECT(CONCATENATE("offshore!",$D30,":", $D30)), offshore!$4:$4, AB$4)</f>
        <v>337</v>
      </c>
      <c r="AC30" s="48">
        <f ca="1">SUMIFS(  INDIRECT(CONCATENATE("'wind'!", $C30, ":", $C30)),   wind!$6:$6, AC$4) - SUMIFS(   INDIRECT(CONCATENATE("offshore!",$D30,":", $D30)), offshore!$4:$4, AC$4)</f>
        <v>337</v>
      </c>
      <c r="AD30" s="48">
        <f ca="1">SUMIFS(  INDIRECT(CONCATENATE("'wind'!", $C30, ":", $C30)),   wind!$6:$6, AD$4) - SUMIFS(   INDIRECT(CONCATENATE("offshore!",$D30,":", $D30)), offshore!$4:$4, AD$4)</f>
        <v>337</v>
      </c>
      <c r="AE30" s="48">
        <f ca="1">SUMIFS(  INDIRECT(CONCATENATE("'wind'!", $C30, ":", $C30)),   wind!$6:$6, AE$4) - SUMIFS(   INDIRECT(CONCATENATE("offshore!",$D30,":", $D30)), offshore!$4:$4, AE$4)</f>
        <v>337</v>
      </c>
      <c r="AF30" s="48">
        <f ca="1">SUMIFS(  INDIRECT(CONCATENATE("'wind'!", $C30, ":", $C30)),   wind!$6:$6, AF$4) - SUMIFS(   INDIRECT(CONCATENATE("offshore!",$D30,":", $D30)), 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wind!$C:$C, 0)</f>
        <v>33</v>
      </c>
      <c r="D31" s="20">
        <f>IFERROR(MATCH($E31, offshore!$D:$D, 0), 1)</f>
        <v>1</v>
      </c>
      <c r="E31" s="17" t="s">
        <v>90</v>
      </c>
      <c r="F31" s="48">
        <f ca="1">SUMIFS(  INDIRECT(CONCATENATE("'wind'!", $C31, ":", $C31)),   wind!$6:$6, F$4) - SUMIFS(   INDIRECT(CONCATENATE("offshore!",$D31,":", $D31)), offshore!$4:$4, F$4)</f>
        <v>0</v>
      </c>
      <c r="G31" s="48">
        <f ca="1">SUMIFS(  INDIRECT(CONCATENATE("'wind'!", $C31, ":", $C31)),   wind!$6:$6, G$4) - SUMIFS(   INDIRECT(CONCATENATE("offshore!",$D31,":", $D31)), offshore!$4:$4, G$4)</f>
        <v>0</v>
      </c>
      <c r="H31" s="48">
        <f ca="1">SUMIFS(  INDIRECT(CONCATENATE("'wind'!", $C31, ":", $C31)),   wind!$6:$6, H$4) - SUMIFS(   INDIRECT(CONCATENATE("offshore!",$D31,":", $D31)), offshore!$4:$4, H$4)</f>
        <v>0</v>
      </c>
      <c r="I31" s="48">
        <f ca="1">SUMIFS(  INDIRECT(CONCATENATE("'wind'!", $C31, ":", $C31)),   wind!$6:$6, I$4) - SUMIFS(   INDIRECT(CONCATENATE("offshore!",$D31,":", $D31)), offshore!$4:$4, I$4)</f>
        <v>0</v>
      </c>
      <c r="J31" s="48">
        <f ca="1">SUMIFS(  INDIRECT(CONCATENATE("'wind'!", $C31, ":", $C31)),   wind!$6:$6, J$4) - SUMIFS(   INDIRECT(CONCATENATE("offshore!",$D31,":", $D31)), offshore!$4:$4, J$4)</f>
        <v>3</v>
      </c>
      <c r="K31" s="48">
        <f ca="1">SUMIFS(  INDIRECT(CONCATENATE("'wind'!", $C31, ":", $C31)),   wind!$6:$6, K$4) - SUMIFS(   INDIRECT(CONCATENATE("offshore!",$D31,":", $D31)), offshore!$4:$4, K$4)</f>
        <v>3</v>
      </c>
      <c r="L31" s="48">
        <f ca="1">SUMIFS(  INDIRECT(CONCATENATE("'wind'!", $C31, ":", $C31)),   wind!$6:$6, L$4) - SUMIFS(   INDIRECT(CONCATENATE("offshore!",$D31,":", $D31)), offshore!$4:$4, L$4)</f>
        <v>3</v>
      </c>
      <c r="M31" s="48">
        <f ca="1">SUMIFS(  INDIRECT(CONCATENATE("'wind'!", $C31, ":", $C31)),   wind!$6:$6, M$4) - SUMIFS(   INDIRECT(CONCATENATE("offshore!",$D31,":", $D31)), offshore!$4:$4, M$4)</f>
        <v>17</v>
      </c>
      <c r="N31" s="48">
        <f ca="1">SUMIFS(  INDIRECT(CONCATENATE("'wind'!", $C31, ":", $C31)),   wind!$6:$6, N$4) - SUMIFS(   INDIRECT(CONCATENATE("offshore!",$D31,":", $D31)), offshore!$4:$4, N$4)</f>
        <v>61</v>
      </c>
      <c r="O31" s="48">
        <f ca="1">SUMIFS(  INDIRECT(CONCATENATE("'wind'!", $C31, ":", $C31)),   wind!$6:$6, O$4) - SUMIFS(   INDIRECT(CONCATENATE("offshore!",$D31,":", $D31)), offshore!$4:$4, O$4)</f>
        <v>65</v>
      </c>
      <c r="P31" s="48">
        <f ca="1">SUMIFS(  INDIRECT(CONCATENATE("'wind'!", $C31, ":", $C31)),   wind!$6:$6, P$4) - SUMIFS(   INDIRECT(CONCATENATE("offshore!",$D31,":", $D31)), offshore!$4:$4, P$4)</f>
        <v>127</v>
      </c>
      <c r="Q31" s="48">
        <f ca="1">SUMIFS(  INDIRECT(CONCATENATE("'wind'!", $C31, ":", $C31)),   wind!$6:$6, Q$4) - SUMIFS(   INDIRECT(CONCATENATE("offshore!",$D31,":", $D31)), offshore!$4:$4, Q$4)</f>
        <v>201</v>
      </c>
      <c r="R31" s="48">
        <f ca="1">SUMIFS(  INDIRECT(CONCATENATE("'wind'!", $C31, ":", $C31)),   wind!$6:$6, R$4) - SUMIFS(   INDIRECT(CONCATENATE("offshore!",$D31,":", $D31)), offshore!$4:$4, R$4)</f>
        <v>295</v>
      </c>
      <c r="S31" s="48">
        <f ca="1">SUMIFS(  INDIRECT(CONCATENATE("'wind'!", $C31, ":", $C31)),   wind!$6:$6, S$4) - SUMIFS(   INDIRECT(CONCATENATE("offshore!",$D31,":", $D31)), offshore!$4:$4, S$4)</f>
        <v>329</v>
      </c>
      <c r="T31" s="48">
        <f ca="1">SUMIFS(  INDIRECT(CONCATENATE("'wind'!", $C31, ":", $C31)),   wind!$6:$6, T$4) - SUMIFS(   INDIRECT(CONCATENATE("offshore!",$D31,":", $D31)), offshore!$4:$4, T$4)</f>
        <v>329</v>
      </c>
      <c r="U31" s="48">
        <f ca="1">SUMIFS(  INDIRECT(CONCATENATE("'wind'!", $C31, ":", $C31)),   wind!$6:$6, U$4) - SUMIFS(   INDIRECT(CONCATENATE("offshore!",$D31,":", $D31)), offshore!$4:$4, U$4)</f>
        <v>329</v>
      </c>
      <c r="V31" s="48">
        <f ca="1">SUMIFS(  INDIRECT(CONCATENATE("'wind'!", $C31, ":", $C31)),   wind!$6:$6, V$4) - SUMIFS(   INDIRECT(CONCATENATE("offshore!",$D31,":", $D31)), offshore!$4:$4, V$4)</f>
        <v>329</v>
      </c>
      <c r="W31" s="48">
        <f ca="1">SUMIFS(  INDIRECT(CONCATENATE("'wind'!", $C31, ":", $C31)),   wind!$6:$6, W$4) - SUMIFS(   INDIRECT(CONCATENATE("offshore!",$D31,":", $D31)), offshore!$4:$4, W$4)</f>
        <v>329</v>
      </c>
      <c r="X31" s="48">
        <f ca="1">SUMIFS(  INDIRECT(CONCATENATE("'wind'!", $C31, ":", $C31)),   wind!$6:$6, X$4) - SUMIFS(   INDIRECT(CONCATENATE("offshore!",$D31,":", $D31)), offshore!$4:$4, X$4)</f>
        <v>329</v>
      </c>
      <c r="Y31" s="48">
        <f ca="1">SUMIFS(  INDIRECT(CONCATENATE("'wind'!", $C31, ":", $C31)),   wind!$6:$6, Y$4) - SUMIFS(   INDIRECT(CONCATENATE("offshore!",$D31,":", $D31)), offshore!$4:$4, Y$4)</f>
        <v>329</v>
      </c>
      <c r="Z31" s="48">
        <f ca="1">SUMIFS(  INDIRECT(CONCATENATE("'wind'!", $C31, ":", $C31)),   wind!$6:$6, Z$4) - SUMIFS(   INDIRECT(CONCATENATE("offshore!",$D31,":", $D31)), offshore!$4:$4, Z$4)</f>
        <v>329</v>
      </c>
      <c r="AA31" s="48">
        <f ca="1">SUMIFS(  INDIRECT(CONCATENATE("'wind'!", $C31, ":", $C31)),   wind!$6:$6, AA$4) - SUMIFS(   INDIRECT(CONCATENATE("offshore!",$D31,":", $D31)), offshore!$4:$4, AA$4)</f>
        <v>329</v>
      </c>
      <c r="AB31" s="48">
        <f ca="1">SUMIFS(  INDIRECT(CONCATENATE("'wind'!", $C31, ":", $C31)),   wind!$6:$6, AB$4) - SUMIFS(   INDIRECT(CONCATENATE("offshore!",$D31,":", $D31)), offshore!$4:$4, AB$4)</f>
        <v>329</v>
      </c>
      <c r="AC31" s="48">
        <f ca="1">SUMIFS(  INDIRECT(CONCATENATE("'wind'!", $C31, ":", $C31)),   wind!$6:$6, AC$4) - SUMIFS(   INDIRECT(CONCATENATE("offshore!",$D31,":", $D31)), offshore!$4:$4, AC$4)</f>
        <v>329</v>
      </c>
      <c r="AD31" s="48">
        <f ca="1">SUMIFS(  INDIRECT(CONCATENATE("'wind'!", $C31, ":", $C31)),   wind!$6:$6, AD$4) - SUMIFS(   INDIRECT(CONCATENATE("offshore!",$D31,":", $D31)), offshore!$4:$4, AD$4)</f>
        <v>329</v>
      </c>
      <c r="AE31" s="48">
        <f ca="1">SUMIFS(  INDIRECT(CONCATENATE("'wind'!", $C31, ":", $C31)),   wind!$6:$6, AE$4) - SUMIFS(   INDIRECT(CONCATENATE("offshore!",$D31,":", $D31)), offshore!$4:$4, AE$4)</f>
        <v>329</v>
      </c>
      <c r="AF31" s="48">
        <f ca="1">SUMIFS(  INDIRECT(CONCATENATE("'wind'!", $C31, ":", $C31)),   wind!$6:$6, AF$4) - SUMIFS(   INDIRECT(CONCATENATE("offshore!",$D31,":", $D31)), 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wind!$C:$C, 0)</f>
        <v>34</v>
      </c>
      <c r="D32" s="20">
        <f>IFERROR(MATCH($E32, offshore!$D:$D, 0), 1)</f>
        <v>1</v>
      </c>
      <c r="E32" s="17" t="s">
        <v>91</v>
      </c>
      <c r="F32" s="48">
        <f ca="1">SUMIFS(  INDIRECT(CONCATENATE("'wind'!", $C32, ":", $C32)),   wind!$6:$6, F$4) - SUMIFS(   INDIRECT(CONCATENATE("offshore!",$D32,":", $D32)), offshore!$4:$4, F$4)</f>
        <v>0</v>
      </c>
      <c r="G32" s="48">
        <f ca="1">SUMIFS(  INDIRECT(CONCATENATE("'wind'!", $C32, ":", $C32)),   wind!$6:$6, G$4) - SUMIFS(   INDIRECT(CONCATENATE("offshore!",$D32,":", $D32)), offshore!$4:$4, G$4)</f>
        <v>0</v>
      </c>
      <c r="H32" s="48">
        <f ca="1">SUMIFS(  INDIRECT(CONCATENATE("'wind'!", $C32, ":", $C32)),   wind!$6:$6, H$4) - SUMIFS(   INDIRECT(CONCATENATE("offshore!",$D32,":", $D32)), offshore!$4:$4, H$4)</f>
        <v>0</v>
      </c>
      <c r="I32" s="48">
        <f ca="1">SUMIFS(  INDIRECT(CONCATENATE("'wind'!", $C32, ":", $C32)),   wind!$6:$6, I$4) - SUMIFS(   INDIRECT(CONCATENATE("offshore!",$D32,":", $D32)), offshore!$4:$4, I$4)</f>
        <v>0</v>
      </c>
      <c r="J32" s="48">
        <f ca="1">SUMIFS(  INDIRECT(CONCATENATE("'wind'!", $C32, ":", $C32)),   wind!$6:$6, J$4) - SUMIFS(   INDIRECT(CONCATENATE("offshore!",$D32,":", $D32)), offshore!$4:$4, J$4)</f>
        <v>0</v>
      </c>
      <c r="K32" s="48">
        <f ca="1">SUMIFS(  INDIRECT(CONCATENATE("'wind'!", $C32, ":", $C32)),   wind!$6:$6, K$4) - SUMIFS(   INDIRECT(CONCATENATE("offshore!",$D32,":", $D32)), offshore!$4:$4, K$4)</f>
        <v>0</v>
      </c>
      <c r="L32" s="48">
        <f ca="1">SUMIFS(  INDIRECT(CONCATENATE("'wind'!", $C32, ":", $C32)),   wind!$6:$6, L$4) - SUMIFS(   INDIRECT(CONCATENATE("offshore!",$D32,":", $D32)), offshore!$4:$4, L$4)</f>
        <v>0</v>
      </c>
      <c r="M32" s="48">
        <f ca="1">SUMIFS(  INDIRECT(CONCATENATE("'wind'!", $C32, ":", $C32)),   wind!$6:$6, M$4) - SUMIFS(   INDIRECT(CONCATENATE("offshore!",$D32,":", $D32)), offshore!$4:$4, M$4)</f>
        <v>0</v>
      </c>
      <c r="N32" s="48">
        <f ca="1">SUMIFS(  INDIRECT(CONCATENATE("'wind'!", $C32, ":", $C32)),   wind!$6:$6, N$4) - SUMIFS(   INDIRECT(CONCATENATE("offshore!",$D32,":", $D32)), offshore!$4:$4, N$4)</f>
        <v>0</v>
      </c>
      <c r="O32" s="48">
        <f ca="1">SUMIFS(  INDIRECT(CONCATENATE("'wind'!", $C32, ":", $C32)),   wind!$6:$6, O$4) - SUMIFS(   INDIRECT(CONCATENATE("offshore!",$D32,":", $D32)), offshore!$4:$4, O$4)</f>
        <v>0</v>
      </c>
      <c r="P32" s="48">
        <f ca="1">SUMIFS(  INDIRECT(CONCATENATE("'wind'!", $C32, ":", $C32)),   wind!$6:$6, P$4) - SUMIFS(   INDIRECT(CONCATENATE("offshore!",$D32,":", $D32)), offshore!$4:$4, P$4)</f>
        <v>0</v>
      </c>
      <c r="Q32" s="48">
        <f ca="1">SUMIFS(  INDIRECT(CONCATENATE("'wind'!", $C32, ":", $C32)),   wind!$6:$6, Q$4) - SUMIFS(   INDIRECT(CONCATENATE("offshore!",$D32,":", $D32)), offshore!$4:$4, Q$4)</f>
        <v>0</v>
      </c>
      <c r="R32" s="48">
        <f ca="1">SUMIFS(  INDIRECT(CONCATENATE("'wind'!", $C32, ":", $C32)),   wind!$6:$6, R$4) - SUMIFS(   INDIRECT(CONCATENATE("offshore!",$D32,":", $D32)), offshore!$4:$4, R$4)</f>
        <v>0</v>
      </c>
      <c r="S32" s="48">
        <f ca="1">SUMIFS(  INDIRECT(CONCATENATE("'wind'!", $C32, ":", $C32)),   wind!$6:$6, S$4) - SUMIFS(   INDIRECT(CONCATENATE("offshore!",$D32,":", $D32)), offshore!$4:$4, S$4)</f>
        <v>0</v>
      </c>
      <c r="T32" s="48">
        <f ca="1">SUMIFS(  INDIRECT(CONCATENATE("'wind'!", $C32, ":", $C32)),   wind!$6:$6, T$4) - SUMIFS(   INDIRECT(CONCATENATE("offshore!",$D32,":", $D32)), offshore!$4:$4, T$4)</f>
        <v>0</v>
      </c>
      <c r="U32" s="48">
        <f ca="1">SUMIFS(  INDIRECT(CONCATENATE("'wind'!", $C32, ":", $C32)),   wind!$6:$6, U$4) - SUMIFS(   INDIRECT(CONCATENATE("offshore!",$D32,":", $D32)), offshore!$4:$4, U$4)</f>
        <v>0</v>
      </c>
      <c r="V32" s="48">
        <f ca="1">SUMIFS(  INDIRECT(CONCATENATE("'wind'!", $C32, ":", $C32)),   wind!$6:$6, V$4) - SUMIFS(   INDIRECT(CONCATENATE("offshore!",$D32,":", $D32)), offshore!$4:$4, V$4)</f>
        <v>0</v>
      </c>
      <c r="W32" s="48">
        <f ca="1">SUMIFS(  INDIRECT(CONCATENATE("'wind'!", $C32, ":", $C32)),   wind!$6:$6, W$4) - SUMIFS(   INDIRECT(CONCATENATE("offshore!",$D32,":", $D32)), offshore!$4:$4, W$4)</f>
        <v>0</v>
      </c>
      <c r="X32" s="48">
        <f ca="1">SUMIFS(  INDIRECT(CONCATENATE("'wind'!", $C32, ":", $C32)),   wind!$6:$6, X$4) - SUMIFS(   INDIRECT(CONCATENATE("offshore!",$D32,":", $D32)), offshore!$4:$4, X$4)</f>
        <v>0</v>
      </c>
      <c r="Y32" s="48">
        <f ca="1">SUMIFS(  INDIRECT(CONCATENATE("'wind'!", $C32, ":", $C32)),   wind!$6:$6, Y$4) - SUMIFS(   INDIRECT(CONCATENATE("offshore!",$D32,":", $D32)), offshore!$4:$4, Y$4)</f>
        <v>0</v>
      </c>
      <c r="Z32" s="48">
        <f ca="1">SUMIFS(  INDIRECT(CONCATENATE("'wind'!", $C32, ":", $C32)),   wind!$6:$6, Z$4) - SUMIFS(   INDIRECT(CONCATENATE("offshore!",$D32,":", $D32)), offshore!$4:$4, Z$4)</f>
        <v>51</v>
      </c>
      <c r="AA32" s="48">
        <f ca="1">SUMIFS(  INDIRECT(CONCATENATE("'wind'!", $C32, ":", $C32)),   wind!$6:$6, AA$4) - SUMIFS(   INDIRECT(CONCATENATE("offshore!",$D32,":", $D32)), offshore!$4:$4, AA$4)</f>
        <v>87</v>
      </c>
      <c r="AB32" s="48">
        <f ca="1">SUMIFS(  INDIRECT(CONCATENATE("'wind'!", $C32, ":", $C32)),   wind!$6:$6, AB$4) - SUMIFS(   INDIRECT(CONCATENATE("offshore!",$D32,":", $D32)), offshore!$4:$4, AB$4)</f>
        <v>135</v>
      </c>
      <c r="AC32" s="48">
        <f ca="1">SUMIFS(  INDIRECT(CONCATENATE("'wind'!", $C32, ":", $C32)),   wind!$6:$6, AC$4) - SUMIFS(   INDIRECT(CONCATENATE("offshore!",$D32,":", $D32)), offshore!$4:$4, AC$4)</f>
        <v>135</v>
      </c>
      <c r="AD32" s="48">
        <f ca="1">SUMIFS(  INDIRECT(CONCATENATE("'wind'!", $C32, ":", $C32)),   wind!$6:$6, AD$4) - SUMIFS(   INDIRECT(CONCATENATE("offshore!",$D32,":", $D32)), offshore!$4:$4, AD$4)</f>
        <v>135</v>
      </c>
      <c r="AE32" s="48">
        <f ca="1">SUMIFS(  INDIRECT(CONCATENATE("'wind'!", $C32, ":", $C32)),   wind!$6:$6, AE$4) - SUMIFS(   INDIRECT(CONCATENATE("offshore!",$D32,":", $D32)), offshore!$4:$4, AE$4)</f>
        <v>135</v>
      </c>
      <c r="AF32" s="48">
        <f ca="1">SUMIFS(  INDIRECT(CONCATENATE("'wind'!", $C32, ":", $C32)),   wind!$6:$6, AF$4) - SUMIFS(   INDIRECT(CONCATENATE("offshore!",$D32,":", $D32)), 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wind!$C:$C, 0)</f>
        <v>35</v>
      </c>
      <c r="D33" s="20">
        <f>IFERROR(MATCH($E33, offshore!$D:$D, 0), 1)</f>
        <v>1</v>
      </c>
      <c r="E33" s="17" t="s">
        <v>92</v>
      </c>
      <c r="F33" s="48">
        <f ca="1">SUMIFS(  INDIRECT(CONCATENATE("'wind'!", $C33, ":", $C33)),   wind!$6:$6, F$4) - SUMIFS(   INDIRECT(CONCATENATE("offshore!",$D33,":", $D33)), offshore!$4:$4, F$4)</f>
        <v>9</v>
      </c>
      <c r="G33" s="48">
        <f ca="1">SUMIFS(  INDIRECT(CONCATENATE("'wind'!", $C33, ":", $C33)),   wind!$6:$6, G$4) - SUMIFS(   INDIRECT(CONCATENATE("offshore!",$D33,":", $D33)), offshore!$4:$4, G$4)</f>
        <v>10</v>
      </c>
      <c r="H33" s="48">
        <f ca="1">SUMIFS(  INDIRECT(CONCATENATE("'wind'!", $C33, ":", $C33)),   wind!$6:$6, H$4) - SUMIFS(   INDIRECT(CONCATENATE("offshore!",$D33,":", $D33)), offshore!$4:$4, H$4)</f>
        <v>10</v>
      </c>
      <c r="I33" s="48">
        <f ca="1">SUMIFS(  INDIRECT(CONCATENATE("'wind'!", $C33, ":", $C33)),   wind!$6:$6, I$4) - SUMIFS(   INDIRECT(CONCATENATE("offshore!",$D33,":", $D33)), offshore!$4:$4, I$4)</f>
        <v>15</v>
      </c>
      <c r="J33" s="48">
        <f ca="1">SUMIFS(  INDIRECT(CONCATENATE("'wind'!", $C33, ":", $C33)),   wind!$6:$6, J$4) - SUMIFS(   INDIRECT(CONCATENATE("offshore!",$D33,":", $D33)), offshore!$4:$4, J$4)</f>
        <v>17</v>
      </c>
      <c r="K33" s="48">
        <f ca="1">SUMIFS(  INDIRECT(CONCATENATE("'wind'!", $C33, ":", $C33)),   wind!$6:$6, K$4) - SUMIFS(   INDIRECT(CONCATENATE("offshore!",$D33,":", $D33)), offshore!$4:$4, K$4)</f>
        <v>22</v>
      </c>
      <c r="L33" s="48">
        <f ca="1">SUMIFS(  INDIRECT(CONCATENATE("'wind'!", $C33, ":", $C33)),   wind!$6:$6, L$4) - SUMIFS(   INDIRECT(CONCATENATE("offshore!",$D33,":", $D33)), offshore!$4:$4, L$4)</f>
        <v>35</v>
      </c>
      <c r="M33" s="48">
        <f ca="1">SUMIFS(  INDIRECT(CONCATENATE("'wind'!", $C33, ":", $C33)),   wind!$6:$6, M$4) - SUMIFS(   INDIRECT(CONCATENATE("offshore!",$D33,":", $D33)), offshore!$4:$4, M$4)</f>
        <v>35</v>
      </c>
      <c r="N33" s="48">
        <f ca="1">SUMIFS(  INDIRECT(CONCATENATE("'wind'!", $C33, ":", $C33)),   wind!$6:$6, N$4) - SUMIFS(   INDIRECT(CONCATENATE("offshore!",$D33,":", $D33)), offshore!$4:$4, N$4)</f>
        <v>35</v>
      </c>
      <c r="O33" s="48">
        <f ca="1">SUMIFS(  INDIRECT(CONCATENATE("'wind'!", $C33, ":", $C33)),   wind!$6:$6, O$4) - SUMIFS(   INDIRECT(CONCATENATE("offshore!",$D33,":", $D33)), offshore!$4:$4, O$4)</f>
        <v>35</v>
      </c>
      <c r="P33" s="48">
        <f ca="1">SUMIFS(  INDIRECT(CONCATENATE("'wind'!", $C33, ":", $C33)),   wind!$6:$6, P$4) - SUMIFS(   INDIRECT(CONCATENATE("offshore!",$D33,":", $D33)), offshore!$4:$4, P$4)</f>
        <v>35</v>
      </c>
      <c r="Q33" s="48">
        <f ca="1">SUMIFS(  INDIRECT(CONCATENATE("'wind'!", $C33, ":", $C33)),   wind!$6:$6, Q$4) - SUMIFS(   INDIRECT(CONCATENATE("offshore!",$D33,":", $D33)), offshore!$4:$4, Q$4)</f>
        <v>35</v>
      </c>
      <c r="R33" s="48">
        <f ca="1">SUMIFS(  INDIRECT(CONCATENATE("'wind'!", $C33, ":", $C33)),   wind!$6:$6, R$4) - SUMIFS(   INDIRECT(CONCATENATE("offshore!",$D33,":", $D33)), offshore!$4:$4, R$4)</f>
        <v>44</v>
      </c>
      <c r="S33" s="48">
        <f ca="1">SUMIFS(  INDIRECT(CONCATENATE("'wind'!", $C33, ":", $C33)),   wind!$6:$6, S$4) - SUMIFS(   INDIRECT(CONCATENATE("offshore!",$D33,":", $D33)), offshore!$4:$4, S$4)</f>
        <v>44</v>
      </c>
      <c r="T33" s="48">
        <f ca="1">SUMIFS(  INDIRECT(CONCATENATE("'wind'!", $C33, ":", $C33)),   wind!$6:$6, T$4) - SUMIFS(   INDIRECT(CONCATENATE("offshore!",$D33,":", $D33)), offshore!$4:$4, T$4)</f>
        <v>58</v>
      </c>
      <c r="U33" s="48">
        <f ca="1">SUMIFS(  INDIRECT(CONCATENATE("'wind'!", $C33, ":", $C33)),   wind!$6:$6, U$4) - SUMIFS(   INDIRECT(CONCATENATE("offshore!",$D33,":", $D33)), offshore!$4:$4, U$4)</f>
        <v>58</v>
      </c>
      <c r="V33" s="48">
        <f ca="1">SUMIFS(  INDIRECT(CONCATENATE("'wind'!", $C33, ":", $C33)),   wind!$6:$6, V$4) - SUMIFS(   INDIRECT(CONCATENATE("offshore!",$D33,":", $D33)), offshore!$4:$4, V$4)</f>
        <v>58</v>
      </c>
      <c r="W33" s="48">
        <f ca="1">SUMIFS(  INDIRECT(CONCATENATE("'wind'!", $C33, ":", $C33)),   wind!$6:$6, W$4) - SUMIFS(   INDIRECT(CONCATENATE("offshore!",$D33,":", $D33)), offshore!$4:$4, W$4)</f>
        <v>58</v>
      </c>
      <c r="X33" s="48">
        <f ca="1">SUMIFS(  INDIRECT(CONCATENATE("'wind'!", $C33, ":", $C33)),   wind!$6:$6, X$4) - SUMIFS(   INDIRECT(CONCATENATE("offshore!",$D33,":", $D33)), offshore!$4:$4, X$4)</f>
        <v>100</v>
      </c>
      <c r="Y33" s="48">
        <f ca="1">SUMIFS(  INDIRECT(CONCATENATE("'wind'!", $C33, ":", $C33)),   wind!$6:$6, Y$4) - SUMIFS(   INDIRECT(CONCATENATE("offshore!",$D33,":", $D33)), offshore!$4:$4, Y$4)</f>
        <v>120</v>
      </c>
      <c r="Z33" s="48">
        <f ca="1">SUMIFS(  INDIRECT(CONCATENATE("'wind'!", $C33, ":", $C33)),   wind!$6:$6, Z$4) - SUMIFS(   INDIRECT(CONCATENATE("offshore!",$D33,":", $D33)), offshore!$4:$4, Z$4)</f>
        <v>120</v>
      </c>
      <c r="AA33" s="48">
        <f ca="1">SUMIFS(  INDIRECT(CONCATENATE("'wind'!", $C33, ":", $C33)),   wind!$6:$6, AA$4) - SUMIFS(   INDIRECT(CONCATENATE("offshore!",$D33,":", $D33)), offshore!$4:$4, AA$4)</f>
        <v>136</v>
      </c>
      <c r="AB33" s="48">
        <f ca="1">SUMIFS(  INDIRECT(CONCATENATE("'wind'!", $C33, ":", $C33)),   wind!$6:$6, AB$4) - SUMIFS(   INDIRECT(CONCATENATE("offshore!",$D33,":", $D33)), offshore!$4:$4, AB$4)</f>
        <v>166</v>
      </c>
      <c r="AC33" s="48">
        <f ca="1">SUMIFS(  INDIRECT(CONCATENATE("'wind'!", $C33, ":", $C33)),   wind!$6:$6, AC$4) - SUMIFS(   INDIRECT(CONCATENATE("offshore!",$D33,":", $D33)), offshore!$4:$4, AC$4)</f>
        <v>168</v>
      </c>
      <c r="AD33" s="48">
        <f ca="1">SUMIFS(  INDIRECT(CONCATENATE("'wind'!", $C33, ":", $C33)),   wind!$6:$6, AD$4) - SUMIFS(   INDIRECT(CONCATENATE("offshore!",$D33,":", $D33)), offshore!$4:$4, AD$4)</f>
        <v>166</v>
      </c>
      <c r="AE33" s="48">
        <f ca="1">SUMIFS(  INDIRECT(CONCATENATE("'wind'!", $C33, ":", $C33)),   wind!$6:$6, AE$4) - SUMIFS(   INDIRECT(CONCATENATE("offshore!",$D33,":", $D33)), offshore!$4:$4, AE$4)</f>
        <v>208</v>
      </c>
      <c r="AF33" s="48">
        <f ca="1">SUMIFS(  INDIRECT(CONCATENATE("'wind'!", $C33, ":", $C33)),   wind!$6:$6, AF$4) - SUMIFS(   INDIRECT(CONCATENATE("offshore!",$D33,":", $D33)), 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wind!$C:$C, 0)</f>
        <v>36</v>
      </c>
      <c r="D34" s="20">
        <f>IFERROR(MATCH($E34, offshore!$D:$D, 0), 1)</f>
        <v>1</v>
      </c>
      <c r="E34" s="17" t="s">
        <v>93</v>
      </c>
      <c r="F34" s="48">
        <f ca="1">SUMIFS(  INDIRECT(CONCATENATE("'wind'!", $C34, ":", $C34)),   wind!$6:$6, F$4) - SUMIFS(   INDIRECT(CONCATENATE("offshore!",$D34,":", $D34)), offshore!$4:$4, F$4)</f>
        <v>0</v>
      </c>
      <c r="G34" s="48">
        <f ca="1">SUMIFS(  INDIRECT(CONCATENATE("'wind'!", $C34, ":", $C34)),   wind!$6:$6, G$4) - SUMIFS(   INDIRECT(CONCATENATE("offshore!",$D34,":", $D34)), offshore!$4:$4, G$4)</f>
        <v>0</v>
      </c>
      <c r="H34" s="48">
        <f ca="1">SUMIFS(  INDIRECT(CONCATENATE("'wind'!", $C34, ":", $C34)),   wind!$6:$6, H$4) - SUMIFS(   INDIRECT(CONCATENATE("offshore!",$D34,":", $D34)), offshore!$4:$4, H$4)</f>
        <v>0</v>
      </c>
      <c r="I34" s="48">
        <f ca="1">SUMIFS(  INDIRECT(CONCATENATE("'wind'!", $C34, ":", $C34)),   wind!$6:$6, I$4) - SUMIFS(   INDIRECT(CONCATENATE("offshore!",$D34,":", $D34)), offshore!$4:$4, I$4)</f>
        <v>0</v>
      </c>
      <c r="J34" s="48">
        <f ca="1">SUMIFS(  INDIRECT(CONCATENATE("'wind'!", $C34, ":", $C34)),   wind!$6:$6, J$4) - SUMIFS(   INDIRECT(CONCATENATE("offshore!",$D34,":", $D34)), offshore!$4:$4, J$4)</f>
        <v>0</v>
      </c>
      <c r="K34" s="48">
        <f ca="1">SUMIFS(  INDIRECT(CONCATENATE("'wind'!", $C34, ":", $C34)),   wind!$6:$6, K$4) - SUMIFS(   INDIRECT(CONCATENATE("offshore!",$D34,":", $D34)), offshore!$4:$4, K$4)</f>
        <v>0</v>
      </c>
      <c r="L34" s="48">
        <f ca="1">SUMIFS(  INDIRECT(CONCATENATE("'wind'!", $C34, ":", $C34)),   wind!$6:$6, L$4) - SUMIFS(   INDIRECT(CONCATENATE("offshore!",$D34,":", $D34)), offshore!$4:$4, L$4)</f>
        <v>0</v>
      </c>
      <c r="M34" s="48">
        <f ca="1">SUMIFS(  INDIRECT(CONCATENATE("'wind'!", $C34, ":", $C34)),   wind!$6:$6, M$4) - SUMIFS(   INDIRECT(CONCATENATE("offshore!",$D34,":", $D34)), offshore!$4:$4, M$4)</f>
        <v>0</v>
      </c>
      <c r="N34" s="48">
        <f ca="1">SUMIFS(  INDIRECT(CONCATENATE("'wind'!", $C34, ":", $C34)),   wind!$6:$6, N$4) - SUMIFS(   INDIRECT(CONCATENATE("offshore!",$D34,":", $D34)), offshore!$4:$4, N$4)</f>
        <v>0</v>
      </c>
      <c r="O34" s="48">
        <f ca="1">SUMIFS(  INDIRECT(CONCATENATE("'wind'!", $C34, ":", $C34)),   wind!$6:$6, O$4) - SUMIFS(   INDIRECT(CONCATENATE("offshore!",$D34,":", $D34)), offshore!$4:$4, O$4)</f>
        <v>0</v>
      </c>
      <c r="P34" s="48">
        <f ca="1">SUMIFS(  INDIRECT(CONCATENATE("'wind'!", $C34, ":", $C34)),   wind!$6:$6, P$4) - SUMIFS(   INDIRECT(CONCATENATE("offshore!",$D34,":", $D34)), offshore!$4:$4, P$4)</f>
        <v>0</v>
      </c>
      <c r="Q34" s="48">
        <f ca="1">SUMIFS(  INDIRECT(CONCATENATE("'wind'!", $C34, ":", $C34)),   wind!$6:$6, Q$4) - SUMIFS(   INDIRECT(CONCATENATE("offshore!",$D34,":", $D34)), offshore!$4:$4, Q$4)</f>
        <v>0</v>
      </c>
      <c r="R34" s="48">
        <f ca="1">SUMIFS(  INDIRECT(CONCATENATE("'wind'!", $C34, ":", $C34)),   wind!$6:$6, R$4) - SUMIFS(   INDIRECT(CONCATENATE("offshore!",$D34,":", $D34)), offshore!$4:$4, R$4)</f>
        <v>82</v>
      </c>
      <c r="S34" s="48">
        <f ca="1">SUMIFS(  INDIRECT(CONCATENATE("'wind'!", $C34, ":", $C34)),   wind!$6:$6, S$4) - SUMIFS(   INDIRECT(CONCATENATE("offshore!",$D34,":", $D34)), offshore!$4:$4, S$4)</f>
        <v>134</v>
      </c>
      <c r="T34" s="48">
        <f ca="1">SUMIFS(  INDIRECT(CONCATENATE("'wind'!", $C34, ":", $C34)),   wind!$6:$6, T$4) - SUMIFS(   INDIRECT(CONCATENATE("offshore!",$D34,":", $D34)), offshore!$4:$4, T$4)</f>
        <v>147</v>
      </c>
      <c r="U34" s="48">
        <f ca="1">SUMIFS(  INDIRECT(CONCATENATE("'wind'!", $C34, ":", $C34)),   wind!$6:$6, U$4) - SUMIFS(   INDIRECT(CONCATENATE("offshore!",$D34,":", $D34)), offshore!$4:$4, U$4)</f>
        <v>147</v>
      </c>
      <c r="V34" s="48">
        <f ca="1">SUMIFS(  INDIRECT(CONCATENATE("'wind'!", $C34, ":", $C34)),   wind!$6:$6, V$4) - SUMIFS(   INDIRECT(CONCATENATE("offshore!",$D34,":", $D34)), offshore!$4:$4, V$4)</f>
        <v>147</v>
      </c>
      <c r="W34" s="48">
        <f ca="1">SUMIFS(  INDIRECT(CONCATENATE("'wind'!", $C34, ":", $C34)),   wind!$6:$6, W$4) - SUMIFS(   INDIRECT(CONCATENATE("offshore!",$D34,":", $D34)), offshore!$4:$4, W$4)</f>
        <v>158</v>
      </c>
      <c r="X34" s="48">
        <f ca="1">SUMIFS(  INDIRECT(CONCATENATE("'wind'!", $C34, ":", $C34)),   wind!$6:$6, X$4) - SUMIFS(   INDIRECT(CONCATENATE("offshore!",$D34,":", $D34)), offshore!$4:$4, X$4)</f>
        <v>158</v>
      </c>
      <c r="Y34" s="48">
        <f ca="1">SUMIFS(  INDIRECT(CONCATENATE("'wind'!", $C34, ":", $C34)),   wind!$6:$6, Y$4) - SUMIFS(   INDIRECT(CONCATENATE("offshore!",$D34,":", $D34)), offshore!$4:$4, Y$4)</f>
        <v>158</v>
      </c>
      <c r="Z34" s="48">
        <f ca="1">SUMIFS(  INDIRECT(CONCATENATE("'wind'!", $C34, ":", $C34)),   wind!$6:$6, Z$4) - SUMIFS(   INDIRECT(CONCATENATE("offshore!",$D34,":", $D34)), offshore!$4:$4, Z$4)</f>
        <v>158</v>
      </c>
      <c r="AA34" s="48">
        <f ca="1">SUMIFS(  INDIRECT(CONCATENATE("'wind'!", $C34, ":", $C34)),   wind!$6:$6, AA$4) - SUMIFS(   INDIRECT(CONCATENATE("offshore!",$D34,":", $D34)), offshore!$4:$4, AA$4)</f>
        <v>158</v>
      </c>
      <c r="AB34" s="48">
        <f ca="1">SUMIFS(  INDIRECT(CONCATENATE("'wind'!", $C34, ":", $C34)),   wind!$6:$6, AB$4) - SUMIFS(   INDIRECT(CONCATENATE("offshore!",$D34,":", $D34)), offshore!$4:$4, AB$4)</f>
        <v>158</v>
      </c>
      <c r="AC34" s="48">
        <f ca="1">SUMIFS(  INDIRECT(CONCATENATE("'wind'!", $C34, ":", $C34)),   wind!$6:$6, AC$4) - SUMIFS(   INDIRECT(CONCATENATE("offshore!",$D34,":", $D34)), offshore!$4:$4, AC$4)</f>
        <v>158</v>
      </c>
      <c r="AD34" s="48">
        <f ca="1">SUMIFS(  INDIRECT(CONCATENATE("'wind'!", $C34, ":", $C34)),   wind!$6:$6, AD$4) - SUMIFS(   INDIRECT(CONCATENATE("offshore!",$D34,":", $D34)), offshore!$4:$4, AD$4)</f>
        <v>158</v>
      </c>
      <c r="AE34" s="48">
        <f ca="1">SUMIFS(  INDIRECT(CONCATENATE("'wind'!", $C34, ":", $C34)),   wind!$6:$6, AE$4) - SUMIFS(   INDIRECT(CONCATENATE("offshore!",$D34,":", $D34)), offshore!$4:$4, AE$4)</f>
        <v>158</v>
      </c>
      <c r="AF34" s="48">
        <f ca="1">SUMIFS(  INDIRECT(CONCATENATE("'wind'!", $C34, ":", $C34)),   wind!$6:$6, AF$4) - SUMIFS(   INDIRECT(CONCATENATE("offshore!",$D34,":", $D34)), 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wind!$C:$C, 0)</f>
        <v>37</v>
      </c>
      <c r="D35" s="20">
        <f>IFERROR(MATCH($E35, offshore!$D:$D, 0), 1)</f>
        <v>1</v>
      </c>
      <c r="E35" s="17" t="s">
        <v>94</v>
      </c>
      <c r="F35" s="48">
        <f ca="1">SUMIFS(  INDIRECT(CONCATENATE("'wind'!", $C35, ":", $C35)),   wind!$6:$6, F$4) - SUMIFS(   INDIRECT(CONCATENATE("offshore!",$D35,":", $D35)), offshore!$4:$4, F$4)</f>
        <v>0</v>
      </c>
      <c r="G35" s="48">
        <f ca="1">SUMIFS(  INDIRECT(CONCATENATE("'wind'!", $C35, ":", $C35)),   wind!$6:$6, G$4) - SUMIFS(   INDIRECT(CONCATENATE("offshore!",$D35,":", $D35)), offshore!$4:$4, G$4)</f>
        <v>0</v>
      </c>
      <c r="H35" s="48">
        <f ca="1">SUMIFS(  INDIRECT(CONCATENATE("'wind'!", $C35, ":", $C35)),   wind!$6:$6, H$4) - SUMIFS(   INDIRECT(CONCATENATE("offshore!",$D35,":", $D35)), offshore!$4:$4, H$4)</f>
        <v>0</v>
      </c>
      <c r="I35" s="48">
        <f ca="1">SUMIFS(  INDIRECT(CONCATENATE("'wind'!", $C35, ":", $C35)),   wind!$6:$6, I$4) - SUMIFS(   INDIRECT(CONCATENATE("offshore!",$D35,":", $D35)), offshore!$4:$4, I$4)</f>
        <v>0</v>
      </c>
      <c r="J35" s="48">
        <f ca="1">SUMIFS(  INDIRECT(CONCATENATE("'wind'!", $C35, ":", $C35)),   wind!$6:$6, J$4) - SUMIFS(   INDIRECT(CONCATENATE("offshore!",$D35,":", $D35)), offshore!$4:$4, J$4)</f>
        <v>0</v>
      </c>
      <c r="K35" s="48">
        <f ca="1">SUMIFS(  INDIRECT(CONCATENATE("'wind'!", $C35, ":", $C35)),   wind!$6:$6, K$4) - SUMIFS(   INDIRECT(CONCATENATE("offshore!",$D35,":", $D35)), offshore!$4:$4, K$4)</f>
        <v>0</v>
      </c>
      <c r="L35" s="48">
        <f ca="1">SUMIFS(  INDIRECT(CONCATENATE("'wind'!", $C35, ":", $C35)),   wind!$6:$6, L$4) - SUMIFS(   INDIRECT(CONCATENATE("offshore!",$D35,":", $D35)), offshore!$4:$4, L$4)</f>
        <v>0</v>
      </c>
      <c r="M35" s="48">
        <f ca="1">SUMIFS(  INDIRECT(CONCATENATE("'wind'!", $C35, ":", $C35)),   wind!$6:$6, M$4) - SUMIFS(   INDIRECT(CONCATENATE("offshore!",$D35,":", $D35)), offshore!$4:$4, M$4)</f>
        <v>0</v>
      </c>
      <c r="N35" s="48">
        <f ca="1">SUMIFS(  INDIRECT(CONCATENATE("'wind'!", $C35, ":", $C35)),   wind!$6:$6, N$4) - SUMIFS(   INDIRECT(CONCATENATE("offshore!",$D35,":", $D35)), offshore!$4:$4, N$4)</f>
        <v>0</v>
      </c>
      <c r="O35" s="48">
        <f ca="1">SUMIFS(  INDIRECT(CONCATENATE("'wind'!", $C35, ":", $C35)),   wind!$6:$6, O$4) - SUMIFS(   INDIRECT(CONCATENATE("offshore!",$D35,":", $D35)), offshore!$4:$4, O$4)</f>
        <v>0</v>
      </c>
      <c r="P35" s="48">
        <f ca="1">SUMIFS(  INDIRECT(CONCATENATE("'wind'!", $C35, ":", $C35)),   wind!$6:$6, P$4) - SUMIFS(   INDIRECT(CONCATENATE("offshore!",$D35,":", $D35)), offshore!$4:$4, P$4)</f>
        <v>0</v>
      </c>
      <c r="Q35" s="48">
        <f ca="1">SUMIFS(  INDIRECT(CONCATENATE("'wind'!", $C35, ":", $C35)),   wind!$6:$6, Q$4) - SUMIFS(   INDIRECT(CONCATENATE("offshore!",$D35,":", $D35)), offshore!$4:$4, Q$4)</f>
        <v>0</v>
      </c>
      <c r="R35" s="48">
        <f ca="1">SUMIFS(  INDIRECT(CONCATENATE("'wind'!", $C35, ":", $C35)),   wind!$6:$6, R$4) - SUMIFS(   INDIRECT(CONCATENATE("offshore!",$D35,":", $D35)), offshore!$4:$4, R$4)</f>
        <v>0</v>
      </c>
      <c r="S35" s="48">
        <f ca="1">SUMIFS(  INDIRECT(CONCATENATE("'wind'!", $C35, ":", $C35)),   wind!$6:$6, S$4) - SUMIFS(   INDIRECT(CONCATENATE("offshore!",$D35,":", $D35)), offshore!$4:$4, S$4)</f>
        <v>0</v>
      </c>
      <c r="T35" s="48">
        <f ca="1">SUMIFS(  INDIRECT(CONCATENATE("'wind'!", $C35, ":", $C35)),   wind!$6:$6, T$4) - SUMIFS(   INDIRECT(CONCATENATE("offshore!",$D35,":", $D35)), offshore!$4:$4, T$4)</f>
        <v>0</v>
      </c>
      <c r="U35" s="48">
        <f ca="1">SUMIFS(  INDIRECT(CONCATENATE("'wind'!", $C35, ":", $C35)),   wind!$6:$6, U$4) - SUMIFS(   INDIRECT(CONCATENATE("offshore!",$D35,":", $D35)), offshore!$4:$4, U$4)</f>
        <v>0</v>
      </c>
      <c r="V35" s="48">
        <f ca="1">SUMIFS(  INDIRECT(CONCATENATE("'wind'!", $C35, ":", $C35)),   wind!$6:$6, V$4) - SUMIFS(   INDIRECT(CONCATENATE("offshore!",$D35,":", $D35)), offshore!$4:$4, V$4)</f>
        <v>0</v>
      </c>
      <c r="W35" s="48">
        <f ca="1">SUMIFS(  INDIRECT(CONCATENATE("'wind'!", $C35, ":", $C35)),   wind!$6:$6, W$4) - SUMIFS(   INDIRECT(CONCATENATE("offshore!",$D35,":", $D35)), offshore!$4:$4, W$4)</f>
        <v>0</v>
      </c>
      <c r="X35" s="48">
        <f ca="1">SUMIFS(  INDIRECT(CONCATENATE("'wind'!", $C35, ":", $C35)),   wind!$6:$6, X$4) - SUMIFS(   INDIRECT(CONCATENATE("offshore!",$D35,":", $D35)), offshore!$4:$4, X$4)</f>
        <v>0</v>
      </c>
      <c r="Y35" s="48">
        <f ca="1">SUMIFS(  INDIRECT(CONCATENATE("'wind'!", $C35, ":", $C35)),   wind!$6:$6, Y$4) - SUMIFS(   INDIRECT(CONCATENATE("offshore!",$D35,":", $D35)), offshore!$4:$4, Y$4)</f>
        <v>0</v>
      </c>
      <c r="Z35" s="48">
        <f ca="1">SUMIFS(  INDIRECT(CONCATENATE("'wind'!", $C35, ":", $C35)),   wind!$6:$6, Z$4) - SUMIFS(   INDIRECT(CONCATENATE("offshore!",$D35,":", $D35)), offshore!$4:$4, Z$4)</f>
        <v>32</v>
      </c>
      <c r="AA35" s="48">
        <f ca="1">SUMIFS(  INDIRECT(CONCATENATE("'wind'!", $C35, ":", $C35)),   wind!$6:$6, AA$4) - SUMIFS(   INDIRECT(CONCATENATE("offshore!",$D35,":", $D35)), offshore!$4:$4, AA$4)</f>
        <v>32</v>
      </c>
      <c r="AB35" s="48">
        <f ca="1">SUMIFS(  INDIRECT(CONCATENATE("'wind'!", $C35, ":", $C35)),   wind!$6:$6, AB$4) - SUMIFS(   INDIRECT(CONCATENATE("offshore!",$D35,":", $D35)), offshore!$4:$4, AB$4)</f>
        <v>32</v>
      </c>
      <c r="AC35" s="48">
        <f ca="1">SUMIFS(  INDIRECT(CONCATENATE("'wind'!", $C35, ":", $C35)),   wind!$6:$6, AC$4) - SUMIFS(   INDIRECT(CONCATENATE("offshore!",$D35,":", $D35)), offshore!$4:$4, AC$4)</f>
        <v>137</v>
      </c>
      <c r="AD35" s="48">
        <f ca="1">SUMIFS(  INDIRECT(CONCATENATE("'wind'!", $C35, ":", $C35)),   wind!$6:$6, AD$4) - SUMIFS(   INDIRECT(CONCATENATE("offshore!",$D35,":", $D35)), offshore!$4:$4, AD$4)</f>
        <v>137</v>
      </c>
      <c r="AE35" s="48">
        <f ca="1">SUMIFS(  INDIRECT(CONCATENATE("'wind'!", $C35, ":", $C35)),   wind!$6:$6, AE$4) - SUMIFS(   INDIRECT(CONCATENATE("offshore!",$D35,":", $D35)), offshore!$4:$4, AE$4)</f>
        <v>137</v>
      </c>
      <c r="AF35" s="48">
        <f ca="1">SUMIFS(  INDIRECT(CONCATENATE("'wind'!", $C35, ":", $C35)),   wind!$6:$6, AF$4) - SUMIFS(   INDIRECT(CONCATENATE("offshore!",$D35,":", $D35)), 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wind!$C:$C, 0)</f>
        <v>38</v>
      </c>
      <c r="D36" s="20">
        <f>IFERROR(MATCH($E36, offshore!$D:$D, 0), 1)</f>
        <v>1</v>
      </c>
      <c r="E36" s="17" t="s">
        <v>95</v>
      </c>
      <c r="F36" s="48">
        <f ca="1">SUMIFS(  INDIRECT(CONCATENATE("'wind'!", $C36, ":", $C36)),   wind!$6:$6, F$4) - SUMIFS(   INDIRECT(CONCATENATE("offshore!",$D36,":", $D36)), offshore!$4:$4, F$4)</f>
        <v>0</v>
      </c>
      <c r="G36" s="48">
        <f ca="1">SUMIFS(  INDIRECT(CONCATENATE("'wind'!", $C36, ":", $C36)),   wind!$6:$6, G$4) - SUMIFS(   INDIRECT(CONCATENATE("offshore!",$D36,":", $D36)), offshore!$4:$4, G$4)</f>
        <v>0</v>
      </c>
      <c r="H36" s="48">
        <f ca="1">SUMIFS(  INDIRECT(CONCATENATE("'wind'!", $C36, ":", $C36)),   wind!$6:$6, H$4) - SUMIFS(   INDIRECT(CONCATENATE("offshore!",$D36,":", $D36)), offshore!$4:$4, H$4)</f>
        <v>0</v>
      </c>
      <c r="I36" s="48">
        <f ca="1">SUMIFS(  INDIRECT(CONCATENATE("'wind'!", $C36, ":", $C36)),   wind!$6:$6, I$4) - SUMIFS(   INDIRECT(CONCATENATE("offshore!",$D36,":", $D36)), offshore!$4:$4, I$4)</f>
        <v>0</v>
      </c>
      <c r="J36" s="48">
        <f ca="1">SUMIFS(  INDIRECT(CONCATENATE("'wind'!", $C36, ":", $C36)),   wind!$6:$6, J$4) - SUMIFS(   INDIRECT(CONCATENATE("offshore!",$D36,":", $D36)), offshore!$4:$4, J$4)</f>
        <v>24</v>
      </c>
      <c r="K36" s="48">
        <f ca="1">SUMIFS(  INDIRECT(CONCATENATE("'wind'!", $C36, ":", $C36)),   wind!$6:$6, K$4) - SUMIFS(   INDIRECT(CONCATENATE("offshore!",$D36,":", $D36)), offshore!$4:$4, K$4)</f>
        <v>27</v>
      </c>
      <c r="L36" s="48">
        <f ca="1">SUMIFS(  INDIRECT(CONCATENATE("'wind'!", $C36, ":", $C36)),   wind!$6:$6, L$4) - SUMIFS(   INDIRECT(CONCATENATE("offshore!",$D36,":", $D36)), offshore!$4:$4, L$4)</f>
        <v>27</v>
      </c>
      <c r="M36" s="48">
        <f ca="1">SUMIFS(  INDIRECT(CONCATENATE("'wind'!", $C36, ":", $C36)),   wind!$6:$6, M$4) - SUMIFS(   INDIRECT(CONCATENATE("offshore!",$D36,":", $D36)), offshore!$4:$4, M$4)</f>
        <v>27</v>
      </c>
      <c r="N36" s="48">
        <f ca="1">SUMIFS(  INDIRECT(CONCATENATE("'wind'!", $C36, ":", $C36)),   wind!$6:$6, N$4) - SUMIFS(   INDIRECT(CONCATENATE("offshore!",$D36,":", $D36)), offshore!$4:$4, N$4)</f>
        <v>27</v>
      </c>
      <c r="O36" s="48">
        <f ca="1">SUMIFS(  INDIRECT(CONCATENATE("'wind'!", $C36, ":", $C36)),   wind!$6:$6, O$4) - SUMIFS(   INDIRECT(CONCATENATE("offshore!",$D36,":", $D36)), offshore!$4:$4, O$4)</f>
        <v>27</v>
      </c>
      <c r="P36" s="48">
        <f ca="1">SUMIFS(  INDIRECT(CONCATENATE("'wind'!", $C36, ":", $C36)),   wind!$6:$6, P$4) - SUMIFS(   INDIRECT(CONCATENATE("offshore!",$D36,":", $D36)), offshore!$4:$4, P$4)</f>
        <v>27</v>
      </c>
      <c r="Q36" s="48">
        <f ca="1">SUMIFS(  INDIRECT(CONCATENATE("'wind'!", $C36, ":", $C36)),   wind!$6:$6, Q$4) - SUMIFS(   INDIRECT(CONCATENATE("offshore!",$D36,":", $D36)), offshore!$4:$4, Q$4)</f>
        <v>28</v>
      </c>
      <c r="R36" s="48">
        <f ca="1">SUMIFS(  INDIRECT(CONCATENATE("'wind'!", $C36, ":", $C36)),   wind!$6:$6, R$4) - SUMIFS(   INDIRECT(CONCATENATE("offshore!",$D36,":", $D36)), offshore!$4:$4, R$4)</f>
        <v>30</v>
      </c>
      <c r="S36" s="48">
        <f ca="1">SUMIFS(  INDIRECT(CONCATENATE("'wind'!", $C36, ":", $C36)),   wind!$6:$6, S$4) - SUMIFS(   INDIRECT(CONCATENATE("offshore!",$D36,":", $D36)), offshore!$4:$4, S$4)</f>
        <v>31</v>
      </c>
      <c r="T36" s="48">
        <f ca="1">SUMIFS(  INDIRECT(CONCATENATE("'wind'!", $C36, ":", $C36)),   wind!$6:$6, T$4) - SUMIFS(   INDIRECT(CONCATENATE("offshore!",$D36,":", $D36)), offshore!$4:$4, T$4)</f>
        <v>60</v>
      </c>
      <c r="U36" s="48">
        <f ca="1">SUMIFS(  INDIRECT(CONCATENATE("'wind'!", $C36, ":", $C36)),   wind!$6:$6, U$4) - SUMIFS(   INDIRECT(CONCATENATE("offshore!",$D36,":", $D36)), offshore!$4:$4, U$4)</f>
        <v>62</v>
      </c>
      <c r="V36" s="48">
        <f ca="1">SUMIFS(  INDIRECT(CONCATENATE("'wind'!", $C36, ":", $C36)),   wind!$6:$6, V$4) - SUMIFS(   INDIRECT(CONCATENATE("offshore!",$D36,":", $D36)), offshore!$4:$4, V$4)</f>
        <v>62</v>
      </c>
      <c r="W36" s="48">
        <f ca="1">SUMIFS(  INDIRECT(CONCATENATE("'wind'!", $C36, ":", $C36)),   wind!$6:$6, W$4) - SUMIFS(   INDIRECT(CONCATENATE("offshore!",$D36,":", $D36)), offshore!$4:$4, W$4)</f>
        <v>69</v>
      </c>
      <c r="X36" s="48">
        <f ca="1">SUMIFS(  INDIRECT(CONCATENATE("'wind'!", $C36, ":", $C36)),   wind!$6:$6, X$4) - SUMIFS(   INDIRECT(CONCATENATE("offshore!",$D36,":", $D36)), offshore!$4:$4, X$4)</f>
        <v>70</v>
      </c>
      <c r="Y36" s="48">
        <f ca="1">SUMIFS(  INDIRECT(CONCATENATE("'wind'!", $C36, ":", $C36)),   wind!$6:$6, Y$4) - SUMIFS(   INDIRECT(CONCATENATE("offshore!",$D36,":", $D36)), offshore!$4:$4, Y$4)</f>
        <v>66</v>
      </c>
      <c r="Z36" s="48">
        <f ca="1">SUMIFS(  INDIRECT(CONCATENATE("'wind'!", $C36, ":", $C36)),   wind!$6:$6, Z$4) - SUMIFS(   INDIRECT(CONCATENATE("offshore!",$D36,":", $D36)), offshore!$4:$4, Z$4)</f>
        <v>66</v>
      </c>
      <c r="AA36" s="48">
        <f ca="1">SUMIFS(  INDIRECT(CONCATENATE("'wind'!", $C36, ":", $C36)),   wind!$6:$6, AA$4) - SUMIFS(   INDIRECT(CONCATENATE("offshore!",$D36,":", $D36)), offshore!$4:$4, AA$4)</f>
        <v>66</v>
      </c>
      <c r="AB36" s="48">
        <f ca="1">SUMIFS(  INDIRECT(CONCATENATE("'wind'!", $C36, ":", $C36)),   wind!$6:$6, AB$4) - SUMIFS(   INDIRECT(CONCATENATE("offshore!",$D36,":", $D36)), offshore!$4:$4, AB$4)</f>
        <v>66</v>
      </c>
      <c r="AC36" s="48">
        <f ca="1">SUMIFS(  INDIRECT(CONCATENATE("'wind'!", $C36, ":", $C36)),   wind!$6:$6, AC$4) - SUMIFS(   INDIRECT(CONCATENATE("offshore!",$D36,":", $D36)), offshore!$4:$4, AC$4)</f>
        <v>66</v>
      </c>
      <c r="AD36" s="48">
        <f ca="1">SUMIFS(  INDIRECT(CONCATENATE("'wind'!", $C36, ":", $C36)),   wind!$6:$6, AD$4) - SUMIFS(   INDIRECT(CONCATENATE("offshore!",$D36,":", $D36)), offshore!$4:$4, AD$4)</f>
        <v>137</v>
      </c>
      <c r="AE36" s="48">
        <f ca="1">SUMIFS(  INDIRECT(CONCATENATE("'wind'!", $C36, ":", $C36)),   wind!$6:$6, AE$4) - SUMIFS(   INDIRECT(CONCATENATE("offshore!",$D36,":", $D36)), offshore!$4:$4, AE$4)</f>
        <v>137</v>
      </c>
      <c r="AF36" s="48">
        <f ca="1">SUMIFS(  INDIRECT(CONCATENATE("'wind'!", $C36, ":", $C36)),   wind!$6:$6, AF$4) - SUMIFS(   INDIRECT(CONCATENATE("offshore!",$D36,":", $D36)), 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wind!$C:$C, 0)</f>
        <v>39</v>
      </c>
      <c r="D37" s="20">
        <f>IFERROR(MATCH($E37, offshore!$D:$D, 0), 1)</f>
        <v>1</v>
      </c>
      <c r="E37" s="17" t="s">
        <v>96</v>
      </c>
      <c r="F37" s="48">
        <f ca="1">SUMIFS(  INDIRECT(CONCATENATE("'wind'!", $C37, ":", $C37)),   wind!$6:$6, F$4) - SUMIFS(   INDIRECT(CONCATENATE("offshore!",$D37,":", $D37)), offshore!$4:$4, F$4)</f>
        <v>0</v>
      </c>
      <c r="G37" s="48">
        <f ca="1">SUMIFS(  INDIRECT(CONCATENATE("'wind'!", $C37, ":", $C37)),   wind!$6:$6, G$4) - SUMIFS(   INDIRECT(CONCATENATE("offshore!",$D37,":", $D37)), offshore!$4:$4, G$4)</f>
        <v>0</v>
      </c>
      <c r="H37" s="48">
        <f ca="1">SUMIFS(  INDIRECT(CONCATENATE("'wind'!", $C37, ":", $C37)),   wind!$6:$6, H$4) - SUMIFS(   INDIRECT(CONCATENATE("offshore!",$D37,":", $D37)), offshore!$4:$4, H$4)</f>
        <v>0</v>
      </c>
      <c r="I37" s="48">
        <f ca="1">SUMIFS(  INDIRECT(CONCATENATE("'wind'!", $C37, ":", $C37)),   wind!$6:$6, I$4) - SUMIFS(   INDIRECT(CONCATENATE("offshore!",$D37,":", $D37)), offshore!$4:$4, I$4)</f>
        <v>0</v>
      </c>
      <c r="J37" s="48">
        <f ca="1">SUMIFS(  INDIRECT(CONCATENATE("'wind'!", $C37, ":", $C37)),   wind!$6:$6, J$4) - SUMIFS(   INDIRECT(CONCATENATE("offshore!",$D37,":", $D37)), offshore!$4:$4, J$4)</f>
        <v>0</v>
      </c>
      <c r="K37" s="48">
        <f ca="1">SUMIFS(  INDIRECT(CONCATENATE("'wind'!", $C37, ":", $C37)),   wind!$6:$6, K$4) - SUMIFS(   INDIRECT(CONCATENATE("offshore!",$D37,":", $D37)), offshore!$4:$4, K$4)</f>
        <v>0</v>
      </c>
      <c r="L37" s="48">
        <f ca="1">SUMIFS(  INDIRECT(CONCATENATE("'wind'!", $C37, ":", $C37)),   wind!$6:$6, L$4) - SUMIFS(   INDIRECT(CONCATENATE("offshore!",$D37,":", $D37)), offshore!$4:$4, L$4)</f>
        <v>0</v>
      </c>
      <c r="M37" s="48">
        <f ca="1">SUMIFS(  INDIRECT(CONCATENATE("'wind'!", $C37, ":", $C37)),   wind!$6:$6, M$4) - SUMIFS(   INDIRECT(CONCATENATE("offshore!",$D37,":", $D37)), offshore!$4:$4, M$4)</f>
        <v>0</v>
      </c>
      <c r="N37" s="48">
        <f ca="1">SUMIFS(  INDIRECT(CONCATENATE("'wind'!", $C37, ":", $C37)),   wind!$6:$6, N$4) - SUMIFS(   INDIRECT(CONCATENATE("offshore!",$D37,":", $D37)), offshore!$4:$4, N$4)</f>
        <v>0</v>
      </c>
      <c r="O37" s="48">
        <f ca="1">SUMIFS(  INDIRECT(CONCATENATE("'wind'!", $C37, ":", $C37)),   wind!$6:$6, O$4) - SUMIFS(   INDIRECT(CONCATENATE("offshore!",$D37,":", $D37)), offshore!$4:$4, O$4)</f>
        <v>0</v>
      </c>
      <c r="P37" s="48">
        <f ca="1">SUMIFS(  INDIRECT(CONCATENATE("'wind'!", $C37, ":", $C37)),   wind!$6:$6, P$4) - SUMIFS(   INDIRECT(CONCATENATE("offshore!",$D37,":", $D37)), offshore!$4:$4, P$4)</f>
        <v>0</v>
      </c>
      <c r="Q37" s="48">
        <f ca="1">SUMIFS(  INDIRECT(CONCATENATE("'wind'!", $C37, ":", $C37)),   wind!$6:$6, Q$4) - SUMIFS(   INDIRECT(CONCATENATE("offshore!",$D37,":", $D37)), offshore!$4:$4, Q$4)</f>
        <v>0</v>
      </c>
      <c r="R37" s="48">
        <f ca="1">SUMIFS(  INDIRECT(CONCATENATE("'wind'!", $C37, ":", $C37)),   wind!$6:$6, R$4) - SUMIFS(   INDIRECT(CONCATENATE("offshore!",$D37,":", $D37)), offshore!$4:$4, R$4)</f>
        <v>0</v>
      </c>
      <c r="S37" s="48">
        <f ca="1">SUMIFS(  INDIRECT(CONCATENATE("'wind'!", $C37, ":", $C37)),   wind!$6:$6, S$4) - SUMIFS(   INDIRECT(CONCATENATE("offshore!",$D37,":", $D37)), offshore!$4:$4, S$4)</f>
        <v>0</v>
      </c>
      <c r="T37" s="48">
        <f ca="1">SUMIFS(  INDIRECT(CONCATENATE("'wind'!", $C37, ":", $C37)),   wind!$6:$6, T$4) - SUMIFS(   INDIRECT(CONCATENATE("offshore!",$D37,":", $D37)), offshore!$4:$4, T$4)</f>
        <v>0</v>
      </c>
      <c r="U37" s="48">
        <f ca="1">SUMIFS(  INDIRECT(CONCATENATE("'wind'!", $C37, ":", $C37)),   wind!$6:$6, U$4) - SUMIFS(   INDIRECT(CONCATENATE("offshore!",$D37,":", $D37)), offshore!$4:$4, U$4)</f>
        <v>0</v>
      </c>
      <c r="V37" s="48">
        <f ca="1">SUMIFS(  INDIRECT(CONCATENATE("'wind'!", $C37, ":", $C37)),   wind!$6:$6, V$4) - SUMIFS(   INDIRECT(CONCATENATE("offshore!",$D37,":", $D37)), offshore!$4:$4, V$4)</f>
        <v>0</v>
      </c>
      <c r="W37" s="48">
        <f ca="1">SUMIFS(  INDIRECT(CONCATENATE("'wind'!", $C37, ":", $C37)),   wind!$6:$6, W$4) - SUMIFS(   INDIRECT(CONCATENATE("offshore!",$D37,":", $D37)), offshore!$4:$4, W$4)</f>
        <v>0</v>
      </c>
      <c r="X37" s="48">
        <f ca="1">SUMIFS(  INDIRECT(CONCATENATE("'wind'!", $C37, ":", $C37)),   wind!$6:$6, X$4) - SUMIFS(   INDIRECT(CONCATENATE("offshore!",$D37,":", $D37)), offshore!$4:$4, X$4)</f>
        <v>0</v>
      </c>
      <c r="Y37" s="48">
        <f ca="1">SUMIFS(  INDIRECT(CONCATENATE("'wind'!", $C37, ":", $C37)),   wind!$6:$6, Y$4) - SUMIFS(   INDIRECT(CONCATENATE("offshore!",$D37,":", $D37)), offshore!$4:$4, Y$4)</f>
        <v>0</v>
      </c>
      <c r="Z37" s="48">
        <f ca="1">SUMIFS(  INDIRECT(CONCATENATE("'wind'!", $C37, ":", $C37)),   wind!$6:$6, Z$4) - SUMIFS(   INDIRECT(CONCATENATE("offshore!",$D37,":", $D37)), offshore!$4:$4, Z$4)</f>
        <v>118</v>
      </c>
      <c r="AA37" s="48">
        <f ca="1">SUMIFS(  INDIRECT(CONCATENATE("'wind'!", $C37, ":", $C37)),   wind!$6:$6, AA$4) - SUMIFS(   INDIRECT(CONCATENATE("offshore!",$D37,":", $D37)), offshore!$4:$4, AA$4)</f>
        <v>118</v>
      </c>
      <c r="AB37" s="48">
        <f ca="1">SUMIFS(  INDIRECT(CONCATENATE("'wind'!", $C37, ":", $C37)),   wind!$6:$6, AB$4) - SUMIFS(   INDIRECT(CONCATENATE("offshore!",$D37,":", $D37)), offshore!$4:$4, AB$4)</f>
        <v>118</v>
      </c>
      <c r="AC37" s="48">
        <f ca="1">SUMIFS(  INDIRECT(CONCATENATE("'wind'!", $C37, ":", $C37)),   wind!$6:$6, AC$4) - SUMIFS(   INDIRECT(CONCATENATE("offshore!",$D37,":", $D37)), offshore!$4:$4, AC$4)</f>
        <v>118</v>
      </c>
      <c r="AD37" s="48">
        <f ca="1">SUMIFS(  INDIRECT(CONCATENATE("'wind'!", $C37, ":", $C37)),   wind!$6:$6, AD$4) - SUMIFS(   INDIRECT(CONCATENATE("offshore!",$D37,":", $D37)), offshore!$4:$4, AD$4)</f>
        <v>118</v>
      </c>
      <c r="AE37" s="48">
        <f ca="1">SUMIFS(  INDIRECT(CONCATENATE("'wind'!", $C37, ":", $C37)),   wind!$6:$6, AE$4) - SUMIFS(   INDIRECT(CONCATENATE("offshore!",$D37,":", $D37)), offshore!$4:$4, AE$4)</f>
        <v>118</v>
      </c>
      <c r="AF37" s="48">
        <f ca="1">SUMIFS(  INDIRECT(CONCATENATE("'wind'!", $C37, ":", $C37)),   wind!$6:$6, AF$4) - SUMIFS(   INDIRECT(CONCATENATE("offshore!",$D37,":", $D37)), 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wind!$C:$C, 0)</f>
        <v>40</v>
      </c>
      <c r="D38" s="20">
        <f>IFERROR(MATCH($E38, offshore!$D:$D, 0), 1)</f>
        <v>1</v>
      </c>
      <c r="E38" s="17" t="s">
        <v>97</v>
      </c>
      <c r="F38" s="48">
        <f ca="1">SUMIFS(  INDIRECT(CONCATENATE("'wind'!", $C38, ":", $C38)),   wind!$6:$6, F$4) - SUMIFS(   INDIRECT(CONCATENATE("offshore!",$D38,":", $D38)), offshore!$4:$4, F$4)</f>
        <v>0</v>
      </c>
      <c r="G38" s="48">
        <f ca="1">SUMIFS(  INDIRECT(CONCATENATE("'wind'!", $C38, ":", $C38)),   wind!$6:$6, G$4) - SUMIFS(   INDIRECT(CONCATENATE("offshore!",$D38,":", $D38)), offshore!$4:$4, G$4)</f>
        <v>0</v>
      </c>
      <c r="H38" s="48">
        <f ca="1">SUMIFS(  INDIRECT(CONCATENATE("'wind'!", $C38, ":", $C38)),   wind!$6:$6, H$4) - SUMIFS(   INDIRECT(CONCATENATE("offshore!",$D38,":", $D38)), offshore!$4:$4, H$4)</f>
        <v>0</v>
      </c>
      <c r="I38" s="48">
        <f ca="1">SUMIFS(  INDIRECT(CONCATENATE("'wind'!", $C38, ":", $C38)),   wind!$6:$6, I$4) - SUMIFS(   INDIRECT(CONCATENATE("offshore!",$D38,":", $D38)), offshore!$4:$4, I$4)</f>
        <v>0</v>
      </c>
      <c r="J38" s="48">
        <f ca="1">SUMIFS(  INDIRECT(CONCATENATE("'wind'!", $C38, ":", $C38)),   wind!$6:$6, J$4) - SUMIFS(   INDIRECT(CONCATENATE("offshore!",$D38,":", $D38)), offshore!$4:$4, J$4)</f>
        <v>0</v>
      </c>
      <c r="K38" s="48">
        <f ca="1">SUMIFS(  INDIRECT(CONCATENATE("'wind'!", $C38, ":", $C38)),   wind!$6:$6, K$4) - SUMIFS(   INDIRECT(CONCATENATE("offshore!",$D38,":", $D38)), offshore!$4:$4, K$4)</f>
        <v>0</v>
      </c>
      <c r="L38" s="48">
        <f ca="1">SUMIFS(  INDIRECT(CONCATENATE("'wind'!", $C38, ":", $C38)),   wind!$6:$6, L$4) - SUMIFS(   INDIRECT(CONCATENATE("offshore!",$D38,":", $D38)), offshore!$4:$4, L$4)</f>
        <v>0</v>
      </c>
      <c r="M38" s="48">
        <f ca="1">SUMIFS(  INDIRECT(CONCATENATE("'wind'!", $C38, ":", $C38)),   wind!$6:$6, M$4) - SUMIFS(   INDIRECT(CONCATENATE("offshore!",$D38,":", $D38)), offshore!$4:$4, M$4)</f>
        <v>12</v>
      </c>
      <c r="N38" s="48">
        <f ca="1">SUMIFS(  INDIRECT(CONCATENATE("'wind'!", $C38, ":", $C38)),   wind!$6:$6, N$4) - SUMIFS(   INDIRECT(CONCATENATE("offshore!",$D38,":", $D38)), offshore!$4:$4, N$4)</f>
        <v>12</v>
      </c>
      <c r="O38" s="48">
        <f ca="1">SUMIFS(  INDIRECT(CONCATENATE("'wind'!", $C38, ":", $C38)),   wind!$6:$6, O$4) - SUMIFS(   INDIRECT(CONCATENATE("offshore!",$D38,":", $D38)), offshore!$4:$4, O$4)</f>
        <v>12</v>
      </c>
      <c r="P38" s="48">
        <f ca="1">SUMIFS(  INDIRECT(CONCATENATE("'wind'!", $C38, ":", $C38)),   wind!$6:$6, P$4) - SUMIFS(   INDIRECT(CONCATENATE("offshore!",$D38,":", $D38)), offshore!$4:$4, P$4)</f>
        <v>14</v>
      </c>
      <c r="Q38" s="48">
        <f ca="1">SUMIFS(  INDIRECT(CONCATENATE("'wind'!", $C38, ":", $C38)),   wind!$6:$6, Q$4) - SUMIFS(   INDIRECT(CONCATENATE("offshore!",$D38,":", $D38)), offshore!$4:$4, Q$4)</f>
        <v>18</v>
      </c>
      <c r="R38" s="48">
        <f ca="1">SUMIFS(  INDIRECT(CONCATENATE("'wind'!", $C38, ":", $C38)),   wind!$6:$6, R$4) - SUMIFS(   INDIRECT(CONCATENATE("offshore!",$D38,":", $D38)), offshore!$4:$4, R$4)</f>
        <v>42</v>
      </c>
      <c r="S38" s="48">
        <f ca="1">SUMIFS(  INDIRECT(CONCATENATE("'wind'!", $C38, ":", $C38)),   wind!$6:$6, S$4) - SUMIFS(   INDIRECT(CONCATENATE("offshore!",$D38,":", $D38)), offshore!$4:$4, S$4)</f>
        <v>46</v>
      </c>
      <c r="T38" s="48">
        <f ca="1">SUMIFS(  INDIRECT(CONCATENATE("'wind'!", $C38, ":", $C38)),   wind!$6:$6, T$4) - SUMIFS(   INDIRECT(CONCATENATE("offshore!",$D38,":", $D38)), offshore!$4:$4, T$4)</f>
        <v>50</v>
      </c>
      <c r="U38" s="48">
        <f ca="1">SUMIFS(  INDIRECT(CONCATENATE("'wind'!", $C38, ":", $C38)),   wind!$6:$6, U$4) - SUMIFS(   INDIRECT(CONCATENATE("offshore!",$D38,":", $D38)), offshore!$4:$4, U$4)</f>
        <v>60</v>
      </c>
      <c r="V38" s="48">
        <f ca="1">SUMIFS(  INDIRECT(CONCATENATE("'wind'!", $C38, ":", $C38)),   wind!$6:$6, V$4) - SUMIFS(   INDIRECT(CONCATENATE("offshore!",$D38,":", $D38)), offshore!$4:$4, V$4)</f>
        <v>60</v>
      </c>
      <c r="W38" s="48">
        <f ca="1">SUMIFS(  INDIRECT(CONCATENATE("'wind'!", $C38, ":", $C38)),   wind!$6:$6, W$4) - SUMIFS(   INDIRECT(CONCATENATE("offshore!",$D38,":", $D38)), offshore!$4:$4, W$4)</f>
        <v>60</v>
      </c>
      <c r="X38" s="48">
        <f ca="1">SUMIFS(  INDIRECT(CONCATENATE("'wind'!", $C38, ":", $C38)),   wind!$6:$6, X$4) - SUMIFS(   INDIRECT(CONCATENATE("offshore!",$D38,":", $D38)), offshore!$4:$4, X$4)</f>
        <v>75</v>
      </c>
      <c r="Y38" s="48">
        <f ca="1">SUMIFS(  INDIRECT(CONCATENATE("'wind'!", $C38, ":", $C38)),   wind!$6:$6, Y$4) - SUMIFS(   INDIRECT(CONCATENATE("offshore!",$D38,":", $D38)), offshore!$4:$4, Y$4)</f>
        <v>75</v>
      </c>
      <c r="Z38" s="48">
        <f ca="1">SUMIFS(  INDIRECT(CONCATENATE("'wind'!", $C38, ":", $C38)),   wind!$6:$6, Z$4) - SUMIFS(   INDIRECT(CONCATENATE("offshore!",$D38,":", $D38)), offshore!$4:$4, Z$4)</f>
        <v>75</v>
      </c>
      <c r="AA38" s="48">
        <f ca="1">SUMIFS(  INDIRECT(CONCATENATE("'wind'!", $C38, ":", $C38)),   wind!$6:$6, AA$4) - SUMIFS(   INDIRECT(CONCATENATE("offshore!",$D38,":", $D38)), offshore!$4:$4, AA$4)</f>
        <v>75</v>
      </c>
      <c r="AB38" s="48">
        <f ca="1">SUMIFS(  INDIRECT(CONCATENATE("'wind'!", $C38, ":", $C38)),   wind!$6:$6, AB$4) - SUMIFS(   INDIRECT(CONCATENATE("offshore!",$D38,":", $D38)), offshore!$4:$4, AB$4)</f>
        <v>87</v>
      </c>
      <c r="AC38" s="48">
        <f ca="1">SUMIFS(  INDIRECT(CONCATENATE("'wind'!", $C38, ":", $C38)),   wind!$6:$6, AC$4) - SUMIFS(   INDIRECT(CONCATENATE("offshore!",$D38,":", $D38)), offshore!$4:$4, AC$4)</f>
        <v>87</v>
      </c>
      <c r="AD38" s="48">
        <f ca="1">SUMIFS(  INDIRECT(CONCATENATE("'wind'!", $C38, ":", $C38)),   wind!$6:$6, AD$4) - SUMIFS(   INDIRECT(CONCATENATE("offshore!",$D38,":", $D38)), offshore!$4:$4, AD$4)</f>
        <v>87</v>
      </c>
      <c r="AE38" s="48">
        <f ca="1">SUMIFS(  INDIRECT(CONCATENATE("'wind'!", $C38, ":", $C38)),   wind!$6:$6, AE$4) - SUMIFS(   INDIRECT(CONCATENATE("offshore!",$D38,":", $D38)), offshore!$4:$4, AE$4)</f>
        <v>101</v>
      </c>
      <c r="AF38" s="48">
        <f ca="1">SUMIFS(  INDIRECT(CONCATENATE("'wind'!", $C38, ":", $C38)),   wind!$6:$6, AF$4) - SUMIFS(   INDIRECT(CONCATENATE("offshore!",$D38,":", $D38)), 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wind!$C:$C, 0)</f>
        <v>41</v>
      </c>
      <c r="D39" s="20">
        <f>IFERROR(MATCH($E39, offshore!$D:$D, 0), 1)</f>
        <v>1</v>
      </c>
      <c r="E39" s="17" t="s">
        <v>98</v>
      </c>
      <c r="F39" s="48">
        <f ca="1">SUMIFS(  INDIRECT(CONCATENATE("'wind'!", $C39, ":", $C39)),   wind!$6:$6, F$4) - SUMIFS(   INDIRECT(CONCATENATE("offshore!",$D39,":", $D39)), offshore!$4:$4, F$4)</f>
        <v>0</v>
      </c>
      <c r="G39" s="48">
        <f ca="1">SUMIFS(  INDIRECT(CONCATENATE("'wind'!", $C39, ":", $C39)),   wind!$6:$6, G$4) - SUMIFS(   INDIRECT(CONCATENATE("offshore!",$D39,":", $D39)), offshore!$4:$4, G$4)</f>
        <v>0</v>
      </c>
      <c r="H39" s="48">
        <f ca="1">SUMIFS(  INDIRECT(CONCATENATE("'wind'!", $C39, ":", $C39)),   wind!$6:$6, H$4) - SUMIFS(   INDIRECT(CONCATENATE("offshore!",$D39,":", $D39)), offshore!$4:$4, H$4)</f>
        <v>0</v>
      </c>
      <c r="I39" s="48">
        <f ca="1">SUMIFS(  INDIRECT(CONCATENATE("'wind'!", $C39, ":", $C39)),   wind!$6:$6, I$4) - SUMIFS(   INDIRECT(CONCATENATE("offshore!",$D39,":", $D39)), offshore!$4:$4, I$4)</f>
        <v>0</v>
      </c>
      <c r="J39" s="48">
        <f ca="1">SUMIFS(  INDIRECT(CONCATENATE("'wind'!", $C39, ":", $C39)),   wind!$6:$6, J$4) - SUMIFS(   INDIRECT(CONCATENATE("offshore!",$D39,":", $D39)), offshore!$4:$4, J$4)</f>
        <v>0</v>
      </c>
      <c r="K39" s="48">
        <f ca="1">SUMIFS(  INDIRECT(CONCATENATE("'wind'!", $C39, ":", $C39)),   wind!$6:$6, K$4) - SUMIFS(   INDIRECT(CONCATENATE("offshore!",$D39,":", $D39)), offshore!$4:$4, K$4)</f>
        <v>0</v>
      </c>
      <c r="L39" s="48">
        <f ca="1">SUMIFS(  INDIRECT(CONCATENATE("'wind'!", $C39, ":", $C39)),   wind!$6:$6, L$4) - SUMIFS(   INDIRECT(CONCATENATE("offshore!",$D39,":", $D39)), offshore!$4:$4, L$4)</f>
        <v>0</v>
      </c>
      <c r="M39" s="48">
        <f ca="1">SUMIFS(  INDIRECT(CONCATENATE("'wind'!", $C39, ":", $C39)),   wind!$6:$6, M$4) - SUMIFS(   INDIRECT(CONCATENATE("offshore!",$D39,":", $D39)), offshore!$4:$4, M$4)</f>
        <v>0</v>
      </c>
      <c r="N39" s="48">
        <f ca="1">SUMIFS(  INDIRECT(CONCATENATE("'wind'!", $C39, ":", $C39)),   wind!$6:$6, N$4) - SUMIFS(   INDIRECT(CONCATENATE("offshore!",$D39,":", $D39)), offshore!$4:$4, N$4)</f>
        <v>0</v>
      </c>
      <c r="O39" s="48">
        <f ca="1">SUMIFS(  INDIRECT(CONCATENATE("'wind'!", $C39, ":", $C39)),   wind!$6:$6, O$4) - SUMIFS(   INDIRECT(CONCATENATE("offshore!",$D39,":", $D39)), offshore!$4:$4, O$4)</f>
        <v>0</v>
      </c>
      <c r="P39" s="48">
        <f ca="1">SUMIFS(  INDIRECT(CONCATENATE("'wind'!", $C39, ":", $C39)),   wind!$6:$6, P$4) - SUMIFS(   INDIRECT(CONCATENATE("offshore!",$D39,":", $D39)), offshore!$4:$4, P$4)</f>
        <v>0</v>
      </c>
      <c r="Q39" s="48">
        <f ca="1">SUMIFS(  INDIRECT(CONCATENATE("'wind'!", $C39, ":", $C39)),   wind!$6:$6, Q$4) - SUMIFS(   INDIRECT(CONCATENATE("offshore!",$D39,":", $D39)), offshore!$4:$4, Q$4)</f>
        <v>0</v>
      </c>
      <c r="R39" s="48">
        <f ca="1">SUMIFS(  INDIRECT(CONCATENATE("'wind'!", $C39, ":", $C39)),   wind!$6:$6, R$4) - SUMIFS(   INDIRECT(CONCATENATE("offshore!",$D39,":", $D39)), offshore!$4:$4, R$4)</f>
        <v>0</v>
      </c>
      <c r="S39" s="48">
        <f ca="1">SUMIFS(  INDIRECT(CONCATENATE("'wind'!", $C39, ":", $C39)),   wind!$6:$6, S$4) - SUMIFS(   INDIRECT(CONCATENATE("offshore!",$D39,":", $D39)), offshore!$4:$4, S$4)</f>
        <v>0</v>
      </c>
      <c r="T39" s="48">
        <f ca="1">SUMIFS(  INDIRECT(CONCATENATE("'wind'!", $C39, ":", $C39)),   wind!$6:$6, T$4) - SUMIFS(   INDIRECT(CONCATENATE("offshore!",$D39,":", $D39)), offshore!$4:$4, T$4)</f>
        <v>0</v>
      </c>
      <c r="U39" s="48">
        <f ca="1">SUMIFS(  INDIRECT(CONCATENATE("'wind'!", $C39, ":", $C39)),   wind!$6:$6, U$4) - SUMIFS(   INDIRECT(CONCATENATE("offshore!",$D39,":", $D39)), offshore!$4:$4, U$4)</f>
        <v>0</v>
      </c>
      <c r="V39" s="48">
        <f ca="1">SUMIFS(  INDIRECT(CONCATENATE("'wind'!", $C39, ":", $C39)),   wind!$6:$6, V$4) - SUMIFS(   INDIRECT(CONCATENATE("offshore!",$D39,":", $D39)), offshore!$4:$4, V$4)</f>
        <v>37</v>
      </c>
      <c r="W39" s="48">
        <f ca="1">SUMIFS(  INDIRECT(CONCATENATE("'wind'!", $C39, ":", $C39)),   wind!$6:$6, W$4) - SUMIFS(   INDIRECT(CONCATENATE("offshore!",$D39,":", $D39)), offshore!$4:$4, W$4)</f>
        <v>37</v>
      </c>
      <c r="X39" s="48">
        <f ca="1">SUMIFS(  INDIRECT(CONCATENATE("'wind'!", $C39, ":", $C39)),   wind!$6:$6, X$4) - SUMIFS(   INDIRECT(CONCATENATE("offshore!",$D39,":", $D39)), offshore!$4:$4, X$4)</f>
        <v>37</v>
      </c>
      <c r="Y39" s="48">
        <f ca="1">SUMIFS(  INDIRECT(CONCATENATE("'wind'!", $C39, ":", $C39)),   wind!$6:$6, Y$4) - SUMIFS(   INDIRECT(CONCATENATE("offshore!",$D39,":", $D39)), offshore!$4:$4, Y$4)</f>
        <v>37</v>
      </c>
      <c r="Z39" s="48">
        <f ca="1">SUMIFS(  INDIRECT(CONCATENATE("'wind'!", $C39, ":", $C39)),   wind!$6:$6, Z$4) - SUMIFS(   INDIRECT(CONCATENATE("offshore!",$D39,":", $D39)), offshore!$4:$4, Z$4)</f>
        <v>37</v>
      </c>
      <c r="AA39" s="48">
        <f ca="1">SUMIFS(  INDIRECT(CONCATENATE("'wind'!", $C39, ":", $C39)),   wind!$6:$6, AA$4) - SUMIFS(   INDIRECT(CONCATENATE("offshore!",$D39,":", $D39)), offshore!$4:$4, AA$4)</f>
        <v>37</v>
      </c>
      <c r="AB39" s="48">
        <f ca="1">SUMIFS(  INDIRECT(CONCATENATE("'wind'!", $C39, ":", $C39)),   wind!$6:$6, AB$4) - SUMIFS(   INDIRECT(CONCATENATE("offshore!",$D39,":", $D39)), offshore!$4:$4, AB$4)</f>
        <v>37</v>
      </c>
      <c r="AC39" s="48">
        <f ca="1">SUMIFS(  INDIRECT(CONCATENATE("'wind'!", $C39, ":", $C39)),   wind!$6:$6, AC$4) - SUMIFS(   INDIRECT(CONCATENATE("offshore!",$D39,":", $D39)), offshore!$4:$4, AC$4)</f>
        <v>37</v>
      </c>
      <c r="AD39" s="48">
        <f ca="1">SUMIFS(  INDIRECT(CONCATENATE("'wind'!", $C39, ":", $C39)),   wind!$6:$6, AD$4) - SUMIFS(   INDIRECT(CONCATENATE("offshore!",$D39,":", $D39)), offshore!$4:$4, AD$4)</f>
        <v>37</v>
      </c>
      <c r="AE39" s="48">
        <f ca="1">SUMIFS(  INDIRECT(CONCATENATE("'wind'!", $C39, ":", $C39)),   wind!$6:$6, AE$4) - SUMIFS(   INDIRECT(CONCATENATE("offshore!",$D39,":", $D39)), offshore!$4:$4, AE$4)</f>
        <v>73</v>
      </c>
      <c r="AF39" s="48">
        <f ca="1">SUMIFS(  INDIRECT(CONCATENATE("'wind'!", $C39, ":", $C39)),   wind!$6:$6, AF$4) - SUMIFS(   INDIRECT(CONCATENATE("offshore!",$D39,":", $D39)), 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wind!$C:$C, 0)</f>
        <v>42</v>
      </c>
      <c r="D40" s="20">
        <f>IFERROR(MATCH($E40, offshore!$D:$D, 0), 1)</f>
        <v>1</v>
      </c>
      <c r="E40" s="17" t="s">
        <v>99</v>
      </c>
      <c r="F40" s="48">
        <f ca="1">SUMIFS(  INDIRECT(CONCATENATE("'wind'!", $C40, ":", $C40)),   wind!$6:$6, F$4) - SUMIFS(   INDIRECT(CONCATENATE("offshore!",$D40,":", $D40)), offshore!$4:$4, F$4)</f>
        <v>0</v>
      </c>
      <c r="G40" s="48">
        <f ca="1">SUMIFS(  INDIRECT(CONCATENATE("'wind'!", $C40, ":", $C40)),   wind!$6:$6, G$4) - SUMIFS(   INDIRECT(CONCATENATE("offshore!",$D40,":", $D40)), offshore!$4:$4, G$4)</f>
        <v>0</v>
      </c>
      <c r="H40" s="48">
        <f ca="1">SUMIFS(  INDIRECT(CONCATENATE("'wind'!", $C40, ":", $C40)),   wind!$6:$6, H$4) - SUMIFS(   INDIRECT(CONCATENATE("offshore!",$D40,":", $D40)), offshore!$4:$4, H$4)</f>
        <v>0</v>
      </c>
      <c r="I40" s="48">
        <f ca="1">SUMIFS(  INDIRECT(CONCATENATE("'wind'!", $C40, ":", $C40)),   wind!$6:$6, I$4) - SUMIFS(   INDIRECT(CONCATENATE("offshore!",$D40,":", $D40)), offshore!$4:$4, I$4)</f>
        <v>0</v>
      </c>
      <c r="J40" s="48">
        <f ca="1">SUMIFS(  INDIRECT(CONCATENATE("'wind'!", $C40, ":", $C40)),   wind!$6:$6, J$4) - SUMIFS(   INDIRECT(CONCATENATE("offshore!",$D40,":", $D40)), offshore!$4:$4, J$4)</f>
        <v>0</v>
      </c>
      <c r="K40" s="48">
        <f ca="1">SUMIFS(  INDIRECT(CONCATENATE("'wind'!", $C40, ":", $C40)),   wind!$6:$6, K$4) - SUMIFS(   INDIRECT(CONCATENATE("offshore!",$D40,":", $D40)), offshore!$4:$4, K$4)</f>
        <v>0</v>
      </c>
      <c r="L40" s="48">
        <f ca="1">SUMIFS(  INDIRECT(CONCATENATE("'wind'!", $C40, ":", $C40)),   wind!$6:$6, L$4) - SUMIFS(   INDIRECT(CONCATENATE("offshore!",$D40,":", $D40)), offshore!$4:$4, L$4)</f>
        <v>0</v>
      </c>
      <c r="M40" s="48">
        <f ca="1">SUMIFS(  INDIRECT(CONCATENATE("'wind'!", $C40, ":", $C40)),   wind!$6:$6, M$4) - SUMIFS(   INDIRECT(CONCATENATE("offshore!",$D40,":", $D40)), offshore!$4:$4, M$4)</f>
        <v>0</v>
      </c>
      <c r="N40" s="48">
        <f ca="1">SUMIFS(  INDIRECT(CONCATENATE("'wind'!", $C40, ":", $C40)),   wind!$6:$6, N$4) - SUMIFS(   INDIRECT(CONCATENATE("offshore!",$D40,":", $D40)), offshore!$4:$4, N$4)</f>
        <v>0</v>
      </c>
      <c r="O40" s="48">
        <f ca="1">SUMIFS(  INDIRECT(CONCATENATE("'wind'!", $C40, ":", $C40)),   wind!$6:$6, O$4) - SUMIFS(   INDIRECT(CONCATENATE("offshore!",$D40,":", $D40)), offshore!$4:$4, O$4)</f>
        <v>0</v>
      </c>
      <c r="P40" s="48">
        <f ca="1">SUMIFS(  INDIRECT(CONCATENATE("'wind'!", $C40, ":", $C40)),   wind!$6:$6, P$4) - SUMIFS(   INDIRECT(CONCATENATE("offshore!",$D40,":", $D40)), offshore!$4:$4, P$4)</f>
        <v>0</v>
      </c>
      <c r="Q40" s="48">
        <f ca="1">SUMIFS(  INDIRECT(CONCATENATE("'wind'!", $C40, ":", $C40)),   wind!$6:$6, Q$4) - SUMIFS(   INDIRECT(CONCATENATE("offshore!",$D40,":", $D40)), offshore!$4:$4, Q$4)</f>
        <v>0</v>
      </c>
      <c r="R40" s="48">
        <f ca="1">SUMIFS(  INDIRECT(CONCATENATE("'wind'!", $C40, ":", $C40)),   wind!$6:$6, R$4) - SUMIFS(   INDIRECT(CONCATENATE("offshore!",$D40,":", $D40)), offshore!$4:$4, R$4)</f>
        <v>0</v>
      </c>
      <c r="S40" s="48">
        <f ca="1">SUMIFS(  INDIRECT(CONCATENATE("'wind'!", $C40, ":", $C40)),   wind!$6:$6, S$4) - SUMIFS(   INDIRECT(CONCATENATE("offshore!",$D40,":", $D40)), offshore!$4:$4, S$4)</f>
        <v>0</v>
      </c>
      <c r="T40" s="48">
        <f ca="1">SUMIFS(  INDIRECT(CONCATENATE("'wind'!", $C40, ":", $C40)),   wind!$6:$6, T$4) - SUMIFS(   INDIRECT(CONCATENATE("offshore!",$D40,":", $D40)), offshore!$4:$4, T$4)</f>
        <v>7</v>
      </c>
      <c r="U40" s="48">
        <f ca="1">SUMIFS(  INDIRECT(CONCATENATE("'wind'!", $C40, ":", $C40)),   wind!$6:$6, U$4) - SUMIFS(   INDIRECT(CONCATENATE("offshore!",$D40,":", $D40)), offshore!$4:$4, U$4)</f>
        <v>7</v>
      </c>
      <c r="V40" s="48">
        <f ca="1">SUMIFS(  INDIRECT(CONCATENATE("'wind'!", $C40, ":", $C40)),   wind!$6:$6, V$4) - SUMIFS(   INDIRECT(CONCATENATE("offshore!",$D40,":", $D40)), offshore!$4:$4, V$4)</f>
        <v>18</v>
      </c>
      <c r="W40" s="48">
        <f ca="1">SUMIFS(  INDIRECT(CONCATENATE("'wind'!", $C40, ":", $C40)),   wind!$6:$6, W$4) - SUMIFS(   INDIRECT(CONCATENATE("offshore!",$D40,":", $D40)), offshore!$4:$4, W$4)</f>
        <v>18</v>
      </c>
      <c r="X40" s="48">
        <f ca="1">SUMIFS(  INDIRECT(CONCATENATE("'wind'!", $C40, ":", $C40)),   wind!$6:$6, X$4) - SUMIFS(   INDIRECT(CONCATENATE("offshore!",$D40,":", $D40)), offshore!$4:$4, X$4)</f>
        <v>18</v>
      </c>
      <c r="Y40" s="48">
        <f ca="1">SUMIFS(  INDIRECT(CONCATENATE("'wind'!", $C40, ":", $C40)),   wind!$6:$6, Y$4) - SUMIFS(   INDIRECT(CONCATENATE("offshore!",$D40,":", $D40)), offshore!$4:$4, Y$4)</f>
        <v>18</v>
      </c>
      <c r="Z40" s="48">
        <f ca="1">SUMIFS(  INDIRECT(CONCATENATE("'wind'!", $C40, ":", $C40)),   wind!$6:$6, Z$4) - SUMIFS(   INDIRECT(CONCATENATE("offshore!",$D40,":", $D40)), offshore!$4:$4, Z$4)</f>
        <v>0</v>
      </c>
      <c r="AA40" s="48">
        <f ca="1">SUMIFS(  INDIRECT(CONCATENATE("'wind'!", $C40, ":", $C40)),   wind!$6:$6, AA$4) - SUMIFS(   INDIRECT(CONCATENATE("offshore!",$D40,":", $D40)), offshore!$4:$4, AA$4)</f>
        <v>0</v>
      </c>
      <c r="AB40" s="48">
        <f ca="1">SUMIFS(  INDIRECT(CONCATENATE("'wind'!", $C40, ":", $C40)),   wind!$6:$6, AB$4) - SUMIFS(   INDIRECT(CONCATENATE("offshore!",$D40,":", $D40)), offshore!$4:$4, AB$4)</f>
        <v>0</v>
      </c>
      <c r="AC40" s="48">
        <f ca="1">SUMIFS(  INDIRECT(CONCATENATE("'wind'!", $C40, ":", $C40)),   wind!$6:$6, AC$4) - SUMIFS(   INDIRECT(CONCATENATE("offshore!",$D40,":", $D40)), offshore!$4:$4, AC$4)</f>
        <v>0</v>
      </c>
      <c r="AD40" s="48">
        <f ca="1">SUMIFS(  INDIRECT(CONCATENATE("'wind'!", $C40, ":", $C40)),   wind!$6:$6, AD$4) - SUMIFS(   INDIRECT(CONCATENATE("offshore!",$D40,":", $D40)), offshore!$4:$4, AD$4)</f>
        <v>68</v>
      </c>
      <c r="AE40" s="48">
        <f ca="1">SUMIFS(  INDIRECT(CONCATENATE("'wind'!", $C40, ":", $C40)),   wind!$6:$6, AE$4) - SUMIFS(   INDIRECT(CONCATENATE("offshore!",$D40,":", $D40)), offshore!$4:$4, AE$4)</f>
        <v>68</v>
      </c>
      <c r="AF40" s="48">
        <f ca="1">SUMIFS(  INDIRECT(CONCATENATE("'wind'!", $C40, ":", $C40)),   wind!$6:$6, AF$4) - SUMIFS(   INDIRECT(CONCATENATE("offshore!",$D40,":", $D40)), 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wind!$C:$C, 0)</f>
        <v>43</v>
      </c>
      <c r="D41" s="20">
        <f>IFERROR(MATCH($E41, offshore!$D:$D, 0), 1)</f>
        <v>1</v>
      </c>
      <c r="E41" s="17" t="s">
        <v>100</v>
      </c>
      <c r="F41" s="48">
        <f ca="1">SUMIFS(  INDIRECT(CONCATENATE("'wind'!", $C41, ":", $C41)),   wind!$6:$6, F$4) - SUMIFS(   INDIRECT(CONCATENATE("offshore!",$D41,":", $D41)), offshore!$4:$4, F$4)</f>
        <v>0</v>
      </c>
      <c r="G41" s="48">
        <f ca="1">SUMIFS(  INDIRECT(CONCATENATE("'wind'!", $C41, ":", $C41)),   wind!$6:$6, G$4) - SUMIFS(   INDIRECT(CONCATENATE("offshore!",$D41,":", $D41)), offshore!$4:$4, G$4)</f>
        <v>0</v>
      </c>
      <c r="H41" s="48">
        <f ca="1">SUMIFS(  INDIRECT(CONCATENATE("'wind'!", $C41, ":", $C41)),   wind!$6:$6, H$4) - SUMIFS(   INDIRECT(CONCATENATE("offshore!",$D41,":", $D41)), offshore!$4:$4, H$4)</f>
        <v>0</v>
      </c>
      <c r="I41" s="48">
        <f ca="1">SUMIFS(  INDIRECT(CONCATENATE("'wind'!", $C41, ":", $C41)),   wind!$6:$6, I$4) - SUMIFS(   INDIRECT(CONCATENATE("offshore!",$D41,":", $D41)), offshore!$4:$4, I$4)</f>
        <v>0</v>
      </c>
      <c r="J41" s="48">
        <f ca="1">SUMIFS(  INDIRECT(CONCATENATE("'wind'!", $C41, ":", $C41)),   wind!$6:$6, J$4) - SUMIFS(   INDIRECT(CONCATENATE("offshore!",$D41,":", $D41)), offshore!$4:$4, J$4)</f>
        <v>0</v>
      </c>
      <c r="K41" s="48">
        <f ca="1">SUMIFS(  INDIRECT(CONCATENATE("'wind'!", $C41, ":", $C41)),   wind!$6:$6, K$4) - SUMIFS(   INDIRECT(CONCATENATE("offshore!",$D41,":", $D41)), offshore!$4:$4, K$4)</f>
        <v>0</v>
      </c>
      <c r="L41" s="48">
        <f ca="1">SUMIFS(  INDIRECT(CONCATENATE("'wind'!", $C41, ":", $C41)),   wind!$6:$6, L$4) - SUMIFS(   INDIRECT(CONCATENATE("offshore!",$D41,":", $D41)), offshore!$4:$4, L$4)</f>
        <v>0</v>
      </c>
      <c r="M41" s="48">
        <f ca="1">SUMIFS(  INDIRECT(CONCATENATE("'wind'!", $C41, ":", $C41)),   wind!$6:$6, M$4) - SUMIFS(   INDIRECT(CONCATENATE("offshore!",$D41,":", $D41)), offshore!$4:$4, M$4)</f>
        <v>3</v>
      </c>
      <c r="N41" s="48">
        <f ca="1">SUMIFS(  INDIRECT(CONCATENATE("'wind'!", $C41, ":", $C41)),   wind!$6:$6, N$4) - SUMIFS(   INDIRECT(CONCATENATE("offshore!",$D41,":", $D41)), offshore!$4:$4, N$4)</f>
        <v>5</v>
      </c>
      <c r="O41" s="48">
        <f ca="1">SUMIFS(  INDIRECT(CONCATENATE("'wind'!", $C41, ":", $C41)),   wind!$6:$6, O$4) - SUMIFS(   INDIRECT(CONCATENATE("offshore!",$D41,":", $D41)), offshore!$4:$4, O$4)</f>
        <v>5</v>
      </c>
      <c r="P41" s="48">
        <f ca="1">SUMIFS(  INDIRECT(CONCATENATE("'wind'!", $C41, ":", $C41)),   wind!$6:$6, P$4) - SUMIFS(   INDIRECT(CONCATENATE("offshore!",$D41,":", $D41)), offshore!$4:$4, P$4)</f>
        <v>5</v>
      </c>
      <c r="Q41" s="48">
        <f ca="1">SUMIFS(  INDIRECT(CONCATENATE("'wind'!", $C41, ":", $C41)),   wind!$6:$6, Q$4) - SUMIFS(   INDIRECT(CONCATENATE("offshore!",$D41,":", $D41)), offshore!$4:$4, Q$4)</f>
        <v>5</v>
      </c>
      <c r="R41" s="48">
        <f ca="1">SUMIFS(  INDIRECT(CONCATENATE("'wind'!", $C41, ":", $C41)),   wind!$6:$6, R$4) - SUMIFS(   INDIRECT(CONCATENATE("offshore!",$D41,":", $D41)), offshore!$4:$4, R$4)</f>
        <v>3</v>
      </c>
      <c r="S41" s="48">
        <f ca="1">SUMIFS(  INDIRECT(CONCATENATE("'wind'!", $C41, ":", $C41)),   wind!$6:$6, S$4) - SUMIFS(   INDIRECT(CONCATENATE("offshore!",$D41,":", $D41)), offshore!$4:$4, S$4)</f>
        <v>3</v>
      </c>
      <c r="T41" s="48">
        <f ca="1">SUMIFS(  INDIRECT(CONCATENATE("'wind'!", $C41, ":", $C41)),   wind!$6:$6, T$4) - SUMIFS(   INDIRECT(CONCATENATE("offshore!",$D41,":", $D41)), offshore!$4:$4, T$4)</f>
        <v>3</v>
      </c>
      <c r="U41" s="48">
        <f ca="1">SUMIFS(  INDIRECT(CONCATENATE("'wind'!", $C41, ":", $C41)),   wind!$6:$6, U$4) - SUMIFS(   INDIRECT(CONCATENATE("offshore!",$D41,":", $D41)), offshore!$4:$4, U$4)</f>
        <v>3</v>
      </c>
      <c r="V41" s="48">
        <f ca="1">SUMIFS(  INDIRECT(CONCATENATE("'wind'!", $C41, ":", $C41)),   wind!$6:$6, V$4) - SUMIFS(   INDIRECT(CONCATENATE("offshore!",$D41,":", $D41)), offshore!$4:$4, V$4)</f>
        <v>3</v>
      </c>
      <c r="W41" s="48">
        <f ca="1">SUMIFS(  INDIRECT(CONCATENATE("'wind'!", $C41, ":", $C41)),   wind!$6:$6, W$4) - SUMIFS(   INDIRECT(CONCATENATE("offshore!",$D41,":", $D41)), offshore!$4:$4, W$4)</f>
        <v>3</v>
      </c>
      <c r="X41" s="48">
        <f ca="1">SUMIFS(  INDIRECT(CONCATENATE("'wind'!", $C41, ":", $C41)),   wind!$6:$6, X$4) - SUMIFS(   INDIRECT(CONCATENATE("offshore!",$D41,":", $D41)), offshore!$4:$4, X$4)</f>
        <v>3</v>
      </c>
      <c r="Y41" s="48">
        <f ca="1">SUMIFS(  INDIRECT(CONCATENATE("'wind'!", $C41, ":", $C41)),   wind!$6:$6, Y$4) - SUMIFS(   INDIRECT(CONCATENATE("offshore!",$D41,":", $D41)), offshore!$4:$4, Y$4)</f>
        <v>3</v>
      </c>
      <c r="Z41" s="48">
        <f ca="1">SUMIFS(  INDIRECT(CONCATENATE("'wind'!", $C41, ":", $C41)),   wind!$6:$6, Z$4) - SUMIFS(   INDIRECT(CONCATENATE("offshore!",$D41,":", $D41)), offshore!$4:$4, Z$4)</f>
        <v>3</v>
      </c>
      <c r="AA41" s="48">
        <f ca="1">SUMIFS(  INDIRECT(CONCATENATE("'wind'!", $C41, ":", $C41)),   wind!$6:$6, AA$4) - SUMIFS(   INDIRECT(CONCATENATE("offshore!",$D41,":", $D41)), offshore!$4:$4, AA$4)</f>
        <v>3</v>
      </c>
      <c r="AB41" s="48">
        <f ca="1">SUMIFS(  INDIRECT(CONCATENATE("'wind'!", $C41, ":", $C41)),   wind!$6:$6, AB$4) - SUMIFS(   INDIRECT(CONCATENATE("offshore!",$D41,":", $D41)), offshore!$4:$4, AB$4)</f>
        <v>3</v>
      </c>
      <c r="AC41" s="48">
        <f ca="1">SUMIFS(  INDIRECT(CONCATENATE("'wind'!", $C41, ":", $C41)),   wind!$6:$6, AC$4) - SUMIFS(   INDIRECT(CONCATENATE("offshore!",$D41,":", $D41)), offshore!$4:$4, AC$4)</f>
        <v>3</v>
      </c>
      <c r="AD41" s="48">
        <f ca="1">SUMIFS(  INDIRECT(CONCATENATE("'wind'!", $C41, ":", $C41)),   wind!$6:$6, AD$4) - SUMIFS(   INDIRECT(CONCATENATE("offshore!",$D41,":", $D41)), offshore!$4:$4, AD$4)</f>
        <v>3</v>
      </c>
      <c r="AE41" s="48">
        <f ca="1">SUMIFS(  INDIRECT(CONCATENATE("'wind'!", $C41, ":", $C41)),   wind!$6:$6, AE$4) - SUMIFS(   INDIRECT(CONCATENATE("offshore!",$D41,":", $D41)), offshore!$4:$4, AE$4)</f>
        <v>3</v>
      </c>
      <c r="AF41" s="48">
        <f ca="1">SUMIFS(  INDIRECT(CONCATENATE("'wind'!", $C41, ":", $C41)),   wind!$6:$6, AF$4) - SUMIFS(   INDIRECT(CONCATENATE("offshore!",$D41,":", $D41)), 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wind!$C:$C, 0)</f>
        <v>44</v>
      </c>
      <c r="D42" s="20">
        <f>IFERROR(MATCH($E42, offshore!$D:$D, 0), 1)</f>
        <v>1</v>
      </c>
      <c r="E42" s="17" t="s">
        <v>101</v>
      </c>
      <c r="F42" s="48">
        <f ca="1">SUMIFS(  INDIRECT(CONCATENATE("'wind'!", $C42, ":", $C42)),   wind!$6:$6, F$4) - SUMIFS(   INDIRECT(CONCATENATE("offshore!",$D42,":", $D42)), offshore!$4:$4, F$4)</f>
        <v>0</v>
      </c>
      <c r="G42" s="48">
        <f ca="1">SUMIFS(  INDIRECT(CONCATENATE("'wind'!", $C42, ":", $C42)),   wind!$6:$6, G$4) - SUMIFS(   INDIRECT(CONCATENATE("offshore!",$D42,":", $D42)), offshore!$4:$4, G$4)</f>
        <v>0</v>
      </c>
      <c r="H42" s="48">
        <f ca="1">SUMIFS(  INDIRECT(CONCATENATE("'wind'!", $C42, ":", $C42)),   wind!$6:$6, H$4) - SUMIFS(   INDIRECT(CONCATENATE("offshore!",$D42,":", $D42)), offshore!$4:$4, H$4)</f>
        <v>0</v>
      </c>
      <c r="I42" s="48">
        <f ca="1">SUMIFS(  INDIRECT(CONCATENATE("'wind'!", $C42, ":", $C42)),   wind!$6:$6, I$4) - SUMIFS(   INDIRECT(CONCATENATE("offshore!",$D42,":", $D42)), offshore!$4:$4, I$4)</f>
        <v>0</v>
      </c>
      <c r="J42" s="48">
        <f ca="1">SUMIFS(  INDIRECT(CONCATENATE("'wind'!", $C42, ":", $C42)),   wind!$6:$6, J$4) - SUMIFS(   INDIRECT(CONCATENATE("offshore!",$D42,":", $D42)), offshore!$4:$4, J$4)</f>
        <v>0</v>
      </c>
      <c r="K42" s="48">
        <f ca="1">SUMIFS(  INDIRECT(CONCATENATE("'wind'!", $C42, ":", $C42)),   wind!$6:$6, K$4) - SUMIFS(   INDIRECT(CONCATENATE("offshore!",$D42,":", $D42)), offshore!$4:$4, K$4)</f>
        <v>0</v>
      </c>
      <c r="L42" s="48">
        <f ca="1">SUMIFS(  INDIRECT(CONCATENATE("'wind'!", $C42, ":", $C42)),   wind!$6:$6, L$4) - SUMIFS(   INDIRECT(CONCATENATE("offshore!",$D42,":", $D42)), offshore!$4:$4, L$4)</f>
        <v>0</v>
      </c>
      <c r="M42" s="48">
        <f ca="1">SUMIFS(  INDIRECT(CONCATENATE("'wind'!", $C42, ":", $C42)),   wind!$6:$6, M$4) - SUMIFS(   INDIRECT(CONCATENATE("offshore!",$D42,":", $D42)), offshore!$4:$4, M$4)</f>
        <v>0</v>
      </c>
      <c r="N42" s="48">
        <f ca="1">SUMIFS(  INDIRECT(CONCATENATE("'wind'!", $C42, ":", $C42)),   wind!$6:$6, N$4) - SUMIFS(   INDIRECT(CONCATENATE("offshore!",$D42,":", $D42)), offshore!$4:$4, N$4)</f>
        <v>0</v>
      </c>
      <c r="O42" s="48">
        <f ca="1">SUMIFS(  INDIRECT(CONCATENATE("'wind'!", $C42, ":", $C42)),   wind!$6:$6, O$4) - SUMIFS(   INDIRECT(CONCATENATE("offshore!",$D42,":", $D42)), offshore!$4:$4, O$4)</f>
        <v>0</v>
      </c>
      <c r="P42" s="48">
        <f ca="1">SUMIFS(  INDIRECT(CONCATENATE("'wind'!", $C42, ":", $C42)),   wind!$6:$6, P$4) - SUMIFS(   INDIRECT(CONCATENATE("offshore!",$D42,":", $D42)), offshore!$4:$4, P$4)</f>
        <v>0</v>
      </c>
      <c r="Q42" s="48">
        <f ca="1">SUMIFS(  INDIRECT(CONCATENATE("'wind'!", $C42, ":", $C42)),   wind!$6:$6, Q$4) - SUMIFS(   INDIRECT(CONCATENATE("offshore!",$D42,":", $D42)), offshore!$4:$4, Q$4)</f>
        <v>0</v>
      </c>
      <c r="R42" s="48">
        <f ca="1">SUMIFS(  INDIRECT(CONCATENATE("'wind'!", $C42, ":", $C42)),   wind!$6:$6, R$4) - SUMIFS(   INDIRECT(CONCATENATE("offshore!",$D42,":", $D42)), offshore!$4:$4, R$4)</f>
        <v>0</v>
      </c>
      <c r="S42" s="48">
        <f ca="1">SUMIFS(  INDIRECT(CONCATENATE("'wind'!", $C42, ":", $C42)),   wind!$6:$6, S$4) - SUMIFS(   INDIRECT(CONCATENATE("offshore!",$D42,":", $D42)), offshore!$4:$4, S$4)</f>
        <v>0</v>
      </c>
      <c r="T42" s="48">
        <f ca="1">SUMIFS(  INDIRECT(CONCATENATE("'wind'!", $C42, ":", $C42)),   wind!$6:$6, T$4) - SUMIFS(   INDIRECT(CONCATENATE("offshore!",$D42,":", $D42)), offshore!$4:$4, T$4)</f>
        <v>0</v>
      </c>
      <c r="U42" s="48">
        <f ca="1">SUMIFS(  INDIRECT(CONCATENATE("'wind'!", $C42, ":", $C42)),   wind!$6:$6, U$4) - SUMIFS(   INDIRECT(CONCATENATE("offshore!",$D42,":", $D42)), offshore!$4:$4, U$4)</f>
        <v>3</v>
      </c>
      <c r="V42" s="48">
        <f ca="1">SUMIFS(  INDIRECT(CONCATENATE("'wind'!", $C42, ":", $C42)),   wind!$6:$6, V$4) - SUMIFS(   INDIRECT(CONCATENATE("offshore!",$D42,":", $D42)), offshore!$4:$4, V$4)</f>
        <v>3</v>
      </c>
      <c r="W42" s="48">
        <f ca="1">SUMIFS(  INDIRECT(CONCATENATE("'wind'!", $C42, ":", $C42)),   wind!$6:$6, W$4) - SUMIFS(   INDIRECT(CONCATENATE("offshore!",$D42,":", $D42)), offshore!$4:$4, W$4)</f>
        <v>3</v>
      </c>
      <c r="X42" s="48">
        <f ca="1">SUMIFS(  INDIRECT(CONCATENATE("'wind'!", $C42, ":", $C42)),   wind!$6:$6, X$4) - SUMIFS(   INDIRECT(CONCATENATE("offshore!",$D42,":", $D42)), offshore!$4:$4, X$4)</f>
        <v>3</v>
      </c>
      <c r="Y42" s="48">
        <f ca="1">SUMIFS(  INDIRECT(CONCATENATE("'wind'!", $C42, ":", $C42)),   wind!$6:$6, Y$4) - SUMIFS(   INDIRECT(CONCATENATE("offshore!",$D42,":", $D42)), offshore!$4:$4, Y$4)</f>
        <v>3</v>
      </c>
      <c r="Z42" s="48">
        <f ca="1">SUMIFS(  INDIRECT(CONCATENATE("'wind'!", $C42, ":", $C42)),   wind!$6:$6, Z$4) - SUMIFS(   INDIRECT(CONCATENATE("offshore!",$D42,":", $D42)), offshore!$4:$4, Z$4)</f>
        <v>3</v>
      </c>
      <c r="AA42" s="48">
        <f ca="1">SUMIFS(  INDIRECT(CONCATENATE("'wind'!", $C42, ":", $C42)),   wind!$6:$6, AA$4) - SUMIFS(   INDIRECT(CONCATENATE("offshore!",$D42,":", $D42)), offshore!$4:$4, AA$4)</f>
        <v>3</v>
      </c>
      <c r="AB42" s="48">
        <f ca="1">SUMIFS(  INDIRECT(CONCATENATE("'wind'!", $C42, ":", $C42)),   wind!$6:$6, AB$4) - SUMIFS(   INDIRECT(CONCATENATE("offshore!",$D42,":", $D42)), offshore!$4:$4, AB$4)</f>
        <v>3</v>
      </c>
      <c r="AC42" s="48">
        <f ca="1">SUMIFS(  INDIRECT(CONCATENATE("'wind'!", $C42, ":", $C42)),   wind!$6:$6, AC$4) - SUMIFS(   INDIRECT(CONCATENATE("offshore!",$D42,":", $D42)), offshore!$4:$4, AC$4)</f>
        <v>3</v>
      </c>
      <c r="AD42" s="48">
        <f ca="1">SUMIFS(  INDIRECT(CONCATENATE("'wind'!", $C42, ":", $C42)),   wind!$6:$6, AD$4) - SUMIFS(   INDIRECT(CONCATENATE("offshore!",$D42,":", $D42)), offshore!$4:$4, AD$4)</f>
        <v>3</v>
      </c>
      <c r="AE42" s="48">
        <f ca="1">SUMIFS(  INDIRECT(CONCATENATE("'wind'!", $C42, ":", $C42)),   wind!$6:$6, AE$4) - SUMIFS(   INDIRECT(CONCATENATE("offshore!",$D42,":", $D42)), offshore!$4:$4, AE$4)</f>
        <v>3</v>
      </c>
      <c r="AF42" s="48">
        <f ca="1">SUMIFS(  INDIRECT(CONCATENATE("'wind'!", $C42, ":", $C42)),   wind!$6:$6, AF$4) - SUMIFS(   INDIRECT(CONCATENATE("offshore!",$D42,":", $D42)), 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wind!$C:$C, 0)</f>
        <v>45</v>
      </c>
      <c r="D43" s="20">
        <f>IFERROR(MATCH($E43, offshore!$D:$D, 0), 1)</f>
        <v>1</v>
      </c>
      <c r="E43" s="17" t="s">
        <v>102</v>
      </c>
      <c r="F43" s="48">
        <f ca="1">SUMIFS(  INDIRECT(CONCATENATE("'wind'!", $C43, ":", $C43)),   wind!$6:$6, F$4) - SUMIFS(   INDIRECT(CONCATENATE("offshore!",$D43,":", $D43)), offshore!$4:$4, F$4)</f>
        <v>0</v>
      </c>
      <c r="G43" s="48">
        <f ca="1">SUMIFS(  INDIRECT(CONCATENATE("'wind'!", $C43, ":", $C43)),   wind!$6:$6, G$4) - SUMIFS(   INDIRECT(CONCATENATE("offshore!",$D43,":", $D43)), offshore!$4:$4, G$4)</f>
        <v>0</v>
      </c>
      <c r="H43" s="48">
        <f ca="1">SUMIFS(  INDIRECT(CONCATENATE("'wind'!", $C43, ":", $C43)),   wind!$6:$6, H$4) - SUMIFS(   INDIRECT(CONCATENATE("offshore!",$D43,":", $D43)), offshore!$4:$4, H$4)</f>
        <v>0</v>
      </c>
      <c r="I43" s="48">
        <f ca="1">SUMIFS(  INDIRECT(CONCATENATE("'wind'!", $C43, ":", $C43)),   wind!$6:$6, I$4) - SUMIFS(   INDIRECT(CONCATENATE("offshore!",$D43,":", $D43)), offshore!$4:$4, I$4)</f>
        <v>0</v>
      </c>
      <c r="J43" s="48">
        <f ca="1">SUMIFS(  INDIRECT(CONCATENATE("'wind'!", $C43, ":", $C43)),   wind!$6:$6, J$4) - SUMIFS(   INDIRECT(CONCATENATE("offshore!",$D43,":", $D43)), offshore!$4:$4, J$4)</f>
        <v>0</v>
      </c>
      <c r="K43" s="48">
        <f ca="1">SUMIFS(  INDIRECT(CONCATENATE("'wind'!", $C43, ":", $C43)),   wind!$6:$6, K$4) - SUMIFS(   INDIRECT(CONCATENATE("offshore!",$D43,":", $D43)), offshore!$4:$4, K$4)</f>
        <v>0</v>
      </c>
      <c r="L43" s="48">
        <f ca="1">SUMIFS(  INDIRECT(CONCATENATE("'wind'!", $C43, ":", $C43)),   wind!$6:$6, L$4) - SUMIFS(   INDIRECT(CONCATENATE("offshore!",$D43,":", $D43)), offshore!$4:$4, L$4)</f>
        <v>0</v>
      </c>
      <c r="M43" s="48">
        <f ca="1">SUMIFS(  INDIRECT(CONCATENATE("'wind'!", $C43, ":", $C43)),   wind!$6:$6, M$4) - SUMIFS(   INDIRECT(CONCATENATE("offshore!",$D43,":", $D43)), offshore!$4:$4, M$4)</f>
        <v>0</v>
      </c>
      <c r="N43" s="48">
        <f ca="1">SUMIFS(  INDIRECT(CONCATENATE("'wind'!", $C43, ":", $C43)),   wind!$6:$6, N$4) - SUMIFS(   INDIRECT(CONCATENATE("offshore!",$D43,":", $D43)), offshore!$4:$4, N$4)</f>
        <v>0</v>
      </c>
      <c r="O43" s="48">
        <f ca="1">SUMIFS(  INDIRECT(CONCATENATE("'wind'!", $C43, ":", $C43)),   wind!$6:$6, O$4) - SUMIFS(   INDIRECT(CONCATENATE("offshore!",$D43,":", $D43)), offshore!$4:$4, O$4)</f>
        <v>0</v>
      </c>
      <c r="P43" s="48">
        <f ca="1">SUMIFS(  INDIRECT(CONCATENATE("'wind'!", $C43, ":", $C43)),   wind!$6:$6, P$4) - SUMIFS(   INDIRECT(CONCATENATE("offshore!",$D43,":", $D43)), offshore!$4:$4, P$4)</f>
        <v>0</v>
      </c>
      <c r="Q43" s="48">
        <f ca="1">SUMIFS(  INDIRECT(CONCATENATE("'wind'!", $C43, ":", $C43)),   wind!$6:$6, Q$4) - SUMIFS(   INDIRECT(CONCATENATE("offshore!",$D43,":", $D43)), offshore!$4:$4, Q$4)</f>
        <v>0</v>
      </c>
      <c r="R43" s="48">
        <f ca="1">SUMIFS(  INDIRECT(CONCATENATE("'wind'!", $C43, ":", $C43)),   wind!$6:$6, R$4) - SUMIFS(   INDIRECT(CONCATENATE("offshore!",$D43,":", $D43)), offshore!$4:$4, R$4)</f>
        <v>0</v>
      </c>
      <c r="S43" s="48">
        <f ca="1">SUMIFS(  INDIRECT(CONCATENATE("'wind'!", $C43, ":", $C43)),   wind!$6:$6, S$4) - SUMIFS(   INDIRECT(CONCATENATE("offshore!",$D43,":", $D43)), offshore!$4:$4, S$4)</f>
        <v>0</v>
      </c>
      <c r="T43" s="48">
        <f ca="1">SUMIFS(  INDIRECT(CONCATENATE("'wind'!", $C43, ":", $C43)),   wind!$6:$6, T$4) - SUMIFS(   INDIRECT(CONCATENATE("offshore!",$D43,":", $D43)), offshore!$4:$4, T$4)</f>
        <v>0</v>
      </c>
      <c r="U43" s="48">
        <f ca="1">SUMIFS(  INDIRECT(CONCATENATE("'wind'!", $C43, ":", $C43)),   wind!$6:$6, U$4) - SUMIFS(   INDIRECT(CONCATENATE("offshore!",$D43,":", $D43)), offshore!$4:$4, U$4)</f>
        <v>1.8</v>
      </c>
      <c r="V43" s="48">
        <f ca="1">SUMIFS(  INDIRECT(CONCATENATE("'wind'!", $C43, ":", $C43)),   wind!$6:$6, V$4) - SUMIFS(   INDIRECT(CONCATENATE("offshore!",$D43,":", $D43)), offshore!$4:$4, V$4)</f>
        <v>3</v>
      </c>
      <c r="W43" s="48">
        <f ca="1">SUMIFS(  INDIRECT(CONCATENATE("'wind'!", $C43, ":", $C43)),   wind!$6:$6, W$4) - SUMIFS(   INDIRECT(CONCATENATE("offshore!",$D43,":", $D43)), offshore!$4:$4, W$4)</f>
        <v>3</v>
      </c>
      <c r="X43" s="48">
        <f ca="1">SUMIFS(  INDIRECT(CONCATENATE("'wind'!", $C43, ":", $C43)),   wind!$6:$6, X$4) - SUMIFS(   INDIRECT(CONCATENATE("offshore!",$D43,":", $D43)), offshore!$4:$4, X$4)</f>
        <v>3</v>
      </c>
      <c r="Y43" s="48">
        <f ca="1">SUMIFS(  INDIRECT(CONCATENATE("'wind'!", $C43, ":", $C43)),   wind!$6:$6, Y$4) - SUMIFS(   INDIRECT(CONCATENATE("offshore!",$D43,":", $D43)), offshore!$4:$4, Y$4)</f>
        <v>3</v>
      </c>
      <c r="Z43" s="48">
        <f ca="1">SUMIFS(  INDIRECT(CONCATENATE("'wind'!", $C43, ":", $C43)),   wind!$6:$6, Z$4) - SUMIFS(   INDIRECT(CONCATENATE("offshore!",$D43,":", $D43)), offshore!$4:$4, Z$4)</f>
        <v>3</v>
      </c>
      <c r="AA43" s="48">
        <f ca="1">SUMIFS(  INDIRECT(CONCATENATE("'wind'!", $C43, ":", $C43)),   wind!$6:$6, AA$4) - SUMIFS(   INDIRECT(CONCATENATE("offshore!",$D43,":", $D43)), offshore!$4:$4, AA$4)</f>
        <v>3</v>
      </c>
      <c r="AB43" s="48">
        <f ca="1">SUMIFS(  INDIRECT(CONCATENATE("'wind'!", $C43, ":", $C43)),   wind!$6:$6, AB$4) - SUMIFS(   INDIRECT(CONCATENATE("offshore!",$D43,":", $D43)), offshore!$4:$4, AB$4)</f>
        <v>3</v>
      </c>
      <c r="AC43" s="48">
        <f ca="1">SUMIFS(  INDIRECT(CONCATENATE("'wind'!", $C43, ":", $C43)),   wind!$6:$6, AC$4) - SUMIFS(   INDIRECT(CONCATENATE("offshore!",$D43,":", $D43)), offshore!$4:$4, AC$4)</f>
        <v>3</v>
      </c>
      <c r="AD43" s="48">
        <f ca="1">SUMIFS(  INDIRECT(CONCATENATE("'wind'!", $C43, ":", $C43)),   wind!$6:$6, AD$4) - SUMIFS(   INDIRECT(CONCATENATE("offshore!",$D43,":", $D43)), offshore!$4:$4, AD$4)</f>
        <v>3</v>
      </c>
      <c r="AE43" s="48">
        <f ca="1">SUMIFS(  INDIRECT(CONCATENATE("'wind'!", $C43, ":", $C43)),   wind!$6:$6, AE$4) - SUMIFS(   INDIRECT(CONCATENATE("offshore!",$D43,":", $D43)), offshore!$4:$4, AE$4)</f>
        <v>3</v>
      </c>
      <c r="AF43" s="48">
        <f ca="1">SUMIFS(  INDIRECT(CONCATENATE("'wind'!", $C43, ":", $C43)),   wind!$6:$6, AF$4) - SUMIFS(   INDIRECT(CONCATENATE("offshore!",$D43,":", $D43)), 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wind!$C:$C, 0)</f>
        <v>46</v>
      </c>
      <c r="D44" s="20">
        <f>IFERROR(MATCH($E44, offshore!$D:$D, 0), 1)</f>
        <v>1</v>
      </c>
      <c r="E44" s="17" t="s">
        <v>103</v>
      </c>
      <c r="F44" s="48">
        <f ca="1">SUMIFS(  INDIRECT(CONCATENATE("'wind'!", $C44, ":", $C44)),   wind!$6:$6, F$4) - SUMIFS(   INDIRECT(CONCATENATE("offshore!",$D44,":", $D44)), offshore!$4:$4, F$4)</f>
        <v>0</v>
      </c>
      <c r="G44" s="48">
        <f ca="1">SUMIFS(  INDIRECT(CONCATENATE("'wind'!", $C44, ":", $C44)),   wind!$6:$6, G$4) - SUMIFS(   INDIRECT(CONCATENATE("offshore!",$D44,":", $D44)), offshore!$4:$4, G$4)</f>
        <v>0</v>
      </c>
      <c r="H44" s="48">
        <f ca="1">SUMIFS(  INDIRECT(CONCATENATE("'wind'!", $C44, ":", $C44)),   wind!$6:$6, H$4) - SUMIFS(   INDIRECT(CONCATENATE("offshore!",$D44,":", $D44)), offshore!$4:$4, H$4)</f>
        <v>0</v>
      </c>
      <c r="I44" s="48">
        <f ca="1">SUMIFS(  INDIRECT(CONCATENATE("'wind'!", $C44, ":", $C44)),   wind!$6:$6, I$4) - SUMIFS(   INDIRECT(CONCATENATE("offshore!",$D44,":", $D44)), offshore!$4:$4, I$4)</f>
        <v>0</v>
      </c>
      <c r="J44" s="48">
        <f ca="1">SUMIFS(  INDIRECT(CONCATENATE("'wind'!", $C44, ":", $C44)),   wind!$6:$6, J$4) - SUMIFS(   INDIRECT(CONCATENATE("offshore!",$D44,":", $D44)), offshore!$4:$4, J$4)</f>
        <v>0</v>
      </c>
      <c r="K44" s="48">
        <f ca="1">SUMIFS(  INDIRECT(CONCATENATE("'wind'!", $C44, ":", $C44)),   wind!$6:$6, K$4) - SUMIFS(   INDIRECT(CONCATENATE("offshore!",$D44,":", $D44)), offshore!$4:$4, K$4)</f>
        <v>0</v>
      </c>
      <c r="L44" s="48">
        <f ca="1">SUMIFS(  INDIRECT(CONCATENATE("'wind'!", $C44, ":", $C44)),   wind!$6:$6, L$4) - SUMIFS(   INDIRECT(CONCATENATE("offshore!",$D44,":", $D44)), offshore!$4:$4, L$4)</f>
        <v>0</v>
      </c>
      <c r="M44" s="48">
        <f ca="1">SUMIFS(  INDIRECT(CONCATENATE("'wind'!", $C44, ":", $C44)),   wind!$6:$6, M$4) - SUMIFS(   INDIRECT(CONCATENATE("offshore!",$D44,":", $D44)), offshore!$4:$4, M$4)</f>
        <v>0</v>
      </c>
      <c r="N44" s="48">
        <f ca="1">SUMIFS(  INDIRECT(CONCATENATE("'wind'!", $C44, ":", $C44)),   wind!$6:$6, N$4) - SUMIFS(   INDIRECT(CONCATENATE("offshore!",$D44,":", $D44)), offshore!$4:$4, N$4)</f>
        <v>0</v>
      </c>
      <c r="O44" s="48">
        <f ca="1">SUMIFS(  INDIRECT(CONCATENATE("'wind'!", $C44, ":", $C44)),   wind!$6:$6, O$4) - SUMIFS(   INDIRECT(CONCATENATE("offshore!",$D44,":", $D44)), offshore!$4:$4, O$4)</f>
        <v>0</v>
      </c>
      <c r="P44" s="48">
        <f ca="1">SUMIFS(  INDIRECT(CONCATENATE("'wind'!", $C44, ":", $C44)),   wind!$6:$6, P$4) - SUMIFS(   INDIRECT(CONCATENATE("offshore!",$D44,":", $D44)), offshore!$4:$4, P$4)</f>
        <v>0</v>
      </c>
      <c r="Q44" s="48">
        <f ca="1">SUMIFS(  INDIRECT(CONCATENATE("'wind'!", $C44, ":", $C44)),   wind!$6:$6, Q$4) - SUMIFS(   INDIRECT(CONCATENATE("offshore!",$D44,":", $D44)), offshore!$4:$4, Q$4)</f>
        <v>0</v>
      </c>
      <c r="R44" s="48">
        <f ca="1">SUMIFS(  INDIRECT(CONCATENATE("'wind'!", $C44, ":", $C44)),   wind!$6:$6, R$4) - SUMIFS(   INDIRECT(CONCATENATE("offshore!",$D44,":", $D44)), offshore!$4:$4, R$4)</f>
        <v>0</v>
      </c>
      <c r="S44" s="48">
        <f ca="1">SUMIFS(  INDIRECT(CONCATENATE("'wind'!", $C44, ":", $C44)),   wind!$6:$6, S$4) - SUMIFS(   INDIRECT(CONCATENATE("offshore!",$D44,":", $D44)), offshore!$4:$4, S$4)</f>
        <v>0</v>
      </c>
      <c r="T44" s="48">
        <f ca="1">SUMIFS(  INDIRECT(CONCATENATE("'wind'!", $C44, ":", $C44)),   wind!$6:$6, T$4) - SUMIFS(   INDIRECT(CONCATENATE("offshore!",$D44,":", $D44)), offshore!$4:$4, T$4)</f>
        <v>0</v>
      </c>
      <c r="U44" s="48">
        <f ca="1">SUMIFS(  INDIRECT(CONCATENATE("'wind'!", $C44, ":", $C44)),   wind!$6:$6, U$4) - SUMIFS(   INDIRECT(CONCATENATE("offshore!",$D44,":", $D44)), offshore!$4:$4, U$4)</f>
        <v>0</v>
      </c>
      <c r="V44" s="48">
        <f ca="1">SUMIFS(  INDIRECT(CONCATENATE("'wind'!", $C44, ":", $C44)),   wind!$6:$6, V$4) - SUMIFS(   INDIRECT(CONCATENATE("offshore!",$D44,":", $D44)), offshore!$4:$4, V$4)</f>
        <v>2</v>
      </c>
      <c r="W44" s="48">
        <f ca="1">SUMIFS(  INDIRECT(CONCATENATE("'wind'!", $C44, ":", $C44)),   wind!$6:$6, W$4) - SUMIFS(   INDIRECT(CONCATENATE("offshore!",$D44,":", $D44)), offshore!$4:$4, W$4)</f>
        <v>5</v>
      </c>
      <c r="X44" s="48">
        <f ca="1">SUMIFS(  INDIRECT(CONCATENATE("'wind'!", $C44, ":", $C44)),   wind!$6:$6, X$4) - SUMIFS(   INDIRECT(CONCATENATE("offshore!",$D44,":", $D44)), offshore!$4:$4, X$4)</f>
        <v>3</v>
      </c>
      <c r="Y44" s="48">
        <f ca="1">SUMIFS(  INDIRECT(CONCATENATE("'wind'!", $C44, ":", $C44)),   wind!$6:$6, Y$4) - SUMIFS(   INDIRECT(CONCATENATE("offshore!",$D44,":", $D44)), offshore!$4:$4, Y$4)</f>
        <v>3</v>
      </c>
      <c r="Z44" s="48">
        <f ca="1">SUMIFS(  INDIRECT(CONCATENATE("'wind'!", $C44, ":", $C44)),   wind!$6:$6, Z$4) - SUMIFS(   INDIRECT(CONCATENATE("offshore!",$D44,":", $D44)), offshore!$4:$4, Z$4)</f>
        <v>3</v>
      </c>
      <c r="AA44" s="48">
        <f ca="1">SUMIFS(  INDIRECT(CONCATENATE("'wind'!", $C44, ":", $C44)),   wind!$6:$6, AA$4) - SUMIFS(   INDIRECT(CONCATENATE("offshore!",$D44,":", $D44)), offshore!$4:$4, AA$4)</f>
        <v>3</v>
      </c>
      <c r="AB44" s="48">
        <f ca="1">SUMIFS(  INDIRECT(CONCATENATE("'wind'!", $C44, ":", $C44)),   wind!$6:$6, AB$4) - SUMIFS(   INDIRECT(CONCATENATE("offshore!",$D44,":", $D44)), offshore!$4:$4, AB$4)</f>
        <v>3</v>
      </c>
      <c r="AC44" s="48">
        <f ca="1">SUMIFS(  INDIRECT(CONCATENATE("'wind'!", $C44, ":", $C44)),   wind!$6:$6, AC$4) - SUMIFS(   INDIRECT(CONCATENATE("offshore!",$D44,":", $D44)), offshore!$4:$4, AC$4)</f>
        <v>3</v>
      </c>
      <c r="AD44" s="48">
        <f ca="1">SUMIFS(  INDIRECT(CONCATENATE("'wind'!", $C44, ":", $C44)),   wind!$6:$6, AD$4) - SUMIFS(   INDIRECT(CONCATENATE("offshore!",$D44,":", $D44)), offshore!$4:$4, AD$4)</f>
        <v>3</v>
      </c>
      <c r="AE44" s="48">
        <f ca="1">SUMIFS(  INDIRECT(CONCATENATE("'wind'!", $C44, ":", $C44)),   wind!$6:$6, AE$4) - SUMIFS(   INDIRECT(CONCATENATE("offshore!",$D44,":", $D44)), offshore!$4:$4, AE$4)</f>
        <v>3</v>
      </c>
      <c r="AF44" s="48">
        <f ca="1">SUMIFS(  INDIRECT(CONCATENATE("'wind'!", $C44, ":", $C44)),   wind!$6:$6, AF$4) - SUMIFS(   INDIRECT(CONCATENATE("offshore!",$D44,":", $D44)), 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wind!$C:$C, 0)</f>
        <v>47</v>
      </c>
      <c r="D45" s="20">
        <f>IFERROR(MATCH($E45, offshore!$D:$D, 0), 1)</f>
        <v>1</v>
      </c>
      <c r="E45" s="17" t="s">
        <v>104</v>
      </c>
      <c r="F45" s="48">
        <f ca="1">SUMIFS(  INDIRECT(CONCATENATE("'wind'!", $C45, ":", $C45)),   wind!$6:$6, F$4) - SUMIFS(   INDIRECT(CONCATENATE("offshore!",$D45,":", $D45)), offshore!$4:$4, F$4)</f>
        <v>0</v>
      </c>
      <c r="G45" s="48">
        <f ca="1">SUMIFS(  INDIRECT(CONCATENATE("'wind'!", $C45, ":", $C45)),   wind!$6:$6, G$4) - SUMIFS(   INDIRECT(CONCATENATE("offshore!",$D45,":", $D45)), offshore!$4:$4, G$4)</f>
        <v>0</v>
      </c>
      <c r="H45" s="48">
        <f ca="1">SUMIFS(  INDIRECT(CONCATENATE("'wind'!", $C45, ":", $C45)),   wind!$6:$6, H$4) - SUMIFS(   INDIRECT(CONCATENATE("offshore!",$D45,":", $D45)), offshore!$4:$4, H$4)</f>
        <v>0</v>
      </c>
      <c r="I45" s="48">
        <f ca="1">SUMIFS(  INDIRECT(CONCATENATE("'wind'!", $C45, ":", $C45)),   wind!$6:$6, I$4) - SUMIFS(   INDIRECT(CONCATENATE("offshore!",$D45,":", $D45)), offshore!$4:$4, I$4)</f>
        <v>0</v>
      </c>
      <c r="J45" s="48">
        <f ca="1">SUMIFS(  INDIRECT(CONCATENATE("'wind'!", $C45, ":", $C45)),   wind!$6:$6, J$4) - SUMIFS(   INDIRECT(CONCATENATE("offshore!",$D45,":", $D45)), offshore!$4:$4, J$4)</f>
        <v>0</v>
      </c>
      <c r="K45" s="48">
        <f ca="1">SUMIFS(  INDIRECT(CONCATENATE("'wind'!", $C45, ":", $C45)),   wind!$6:$6, K$4) - SUMIFS(   INDIRECT(CONCATENATE("offshore!",$D45,":", $D45)), offshore!$4:$4, K$4)</f>
        <v>0</v>
      </c>
      <c r="L45" s="48">
        <f ca="1">SUMIFS(  INDIRECT(CONCATENATE("'wind'!", $C45, ":", $C45)),   wind!$6:$6, L$4) - SUMIFS(   INDIRECT(CONCATENATE("offshore!",$D45,":", $D45)), offshore!$4:$4, L$4)</f>
        <v>0</v>
      </c>
      <c r="M45" s="48">
        <f ca="1">SUMIFS(  INDIRECT(CONCATENATE("'wind'!", $C45, ":", $C45)),   wind!$6:$6, M$4) - SUMIFS(   INDIRECT(CONCATENATE("offshore!",$D45,":", $D45)), offshore!$4:$4, M$4)</f>
        <v>0</v>
      </c>
      <c r="N45" s="48">
        <f ca="1">SUMIFS(  INDIRECT(CONCATENATE("'wind'!", $C45, ":", $C45)),   wind!$6:$6, N$4) - SUMIFS(   INDIRECT(CONCATENATE("offshore!",$D45,":", $D45)), offshore!$4:$4, N$4)</f>
        <v>0</v>
      </c>
      <c r="O45" s="48">
        <f ca="1">SUMIFS(  INDIRECT(CONCATENATE("'wind'!", $C45, ":", $C45)),   wind!$6:$6, O$4) - SUMIFS(   INDIRECT(CONCATENATE("offshore!",$D45,":", $D45)), offshore!$4:$4, O$4)</f>
        <v>0</v>
      </c>
      <c r="P45" s="48">
        <f ca="1">SUMIFS(  INDIRECT(CONCATENATE("'wind'!", $C45, ":", $C45)),   wind!$6:$6, P$4) - SUMIFS(   INDIRECT(CONCATENATE("offshore!",$D45,":", $D45)), offshore!$4:$4, P$4)</f>
        <v>0</v>
      </c>
      <c r="Q45" s="48">
        <f ca="1">SUMIFS(  INDIRECT(CONCATENATE("'wind'!", $C45, ":", $C45)),   wind!$6:$6, Q$4) - SUMIFS(   INDIRECT(CONCATENATE("offshore!",$D45,":", $D45)), offshore!$4:$4, Q$4)</f>
        <v>0</v>
      </c>
      <c r="R45" s="48">
        <f ca="1">SUMIFS(  INDIRECT(CONCATENATE("'wind'!", $C45, ":", $C45)),   wind!$6:$6, R$4) - SUMIFS(   INDIRECT(CONCATENATE("offshore!",$D45,":", $D45)), offshore!$4:$4, R$4)</f>
        <v>0</v>
      </c>
      <c r="S45" s="48">
        <f ca="1">SUMIFS(  INDIRECT(CONCATENATE("'wind'!", $C45, ":", $C45)),   wind!$6:$6, S$4) - SUMIFS(   INDIRECT(CONCATENATE("offshore!",$D45,":", $D45)), offshore!$4:$4, S$4)</f>
        <v>0</v>
      </c>
      <c r="T45" s="48">
        <f ca="1">SUMIFS(  INDIRECT(CONCATENATE("'wind'!", $C45, ":", $C45)),   wind!$6:$6, T$4) - SUMIFS(   INDIRECT(CONCATENATE("offshore!",$D45,":", $D45)), offshore!$4:$4, T$4)</f>
        <v>0</v>
      </c>
      <c r="U45" s="48">
        <f ca="1">SUMIFS(  INDIRECT(CONCATENATE("'wind'!", $C45, ":", $C45)),   wind!$6:$6, U$4) - SUMIFS(   INDIRECT(CONCATENATE("offshore!",$D45,":", $D45)), offshore!$4:$4, U$4)</f>
        <v>0</v>
      </c>
      <c r="V45" s="48">
        <f ca="1">SUMIFS(  INDIRECT(CONCATENATE("'wind'!", $C45, ":", $C45)),   wind!$6:$6, V$4) - SUMIFS(   INDIRECT(CONCATENATE("offshore!",$D45,":", $D45)), offshore!$4:$4, V$4)</f>
        <v>0</v>
      </c>
      <c r="W45" s="48">
        <f ca="1">SUMIFS(  INDIRECT(CONCATENATE("'wind'!", $C45, ":", $C45)),   wind!$6:$6, W$4) - SUMIFS(   INDIRECT(CONCATENATE("offshore!",$D45,":", $D45)), offshore!$4:$4, W$4)</f>
        <v>0</v>
      </c>
      <c r="X45" s="48">
        <f ca="1">SUMIFS(  INDIRECT(CONCATENATE("'wind'!", $C45, ":", $C45)),   wind!$6:$6, X$4) - SUMIFS(   INDIRECT(CONCATENATE("offshore!",$D45,":", $D45)), offshore!$4:$4, X$4)</f>
        <v>0</v>
      </c>
      <c r="Y45" s="48">
        <f ca="1">SUMIFS(  INDIRECT(CONCATENATE("'wind'!", $C45, ":", $C45)),   wind!$6:$6, Y$4) - SUMIFS(   INDIRECT(CONCATENATE("offshore!",$D45,":", $D45)), offshore!$4:$4, Y$4)</f>
        <v>0</v>
      </c>
      <c r="Z45" s="48">
        <f ca="1">SUMIFS(  INDIRECT(CONCATENATE("'wind'!", $C45, ":", $C45)),   wind!$6:$6, Z$4) - SUMIFS(   INDIRECT(CONCATENATE("offshore!",$D45,":", $D45)), offshore!$4:$4, Z$4)</f>
        <v>0</v>
      </c>
      <c r="AA45" s="48">
        <f ca="1">SUMIFS(  INDIRECT(CONCATENATE("'wind'!", $C45, ":", $C45)),   wind!$6:$6, AA$4) - SUMIFS(   INDIRECT(CONCATENATE("offshore!",$D45,":", $D45)), offshore!$4:$4, AA$4)</f>
        <v>0</v>
      </c>
      <c r="AB45" s="48">
        <f ca="1">SUMIFS(  INDIRECT(CONCATENATE("'wind'!", $C45, ":", $C45)),   wind!$6:$6, AB$4) - SUMIFS(   INDIRECT(CONCATENATE("offshore!",$D45,":", $D45)), offshore!$4:$4, AB$4)</f>
        <v>0</v>
      </c>
      <c r="AC45" s="48">
        <f ca="1">SUMIFS(  INDIRECT(CONCATENATE("'wind'!", $C45, ":", $C45)),   wind!$6:$6, AC$4) - SUMIFS(   INDIRECT(CONCATENATE("offshore!",$D45,":", $D45)), offshore!$4:$4, AC$4)</f>
        <v>0</v>
      </c>
      <c r="AD45" s="48">
        <f ca="1">SUMIFS(  INDIRECT(CONCATENATE("'wind'!", $C45, ":", $C45)),   wind!$6:$6, AD$4) - SUMIFS(   INDIRECT(CONCATENATE("offshore!",$D45,":", $D45)), offshore!$4:$4, AD$4)</f>
        <v>0</v>
      </c>
      <c r="AE45" s="48">
        <f ca="1">SUMIFS(  INDIRECT(CONCATENATE("'wind'!", $C45, ":", $C45)),   wind!$6:$6, AE$4) - SUMIFS(   INDIRECT(CONCATENATE("offshore!",$D45,":", $D45)), offshore!$4:$4, AE$4)</f>
        <v>0</v>
      </c>
      <c r="AF45" s="48">
        <f ca="1">SUMIFS(  INDIRECT(CONCATENATE("'wind'!", $C45, ":", $C45)),   wind!$6:$6, AF$4) - SUMIFS(   INDIRECT(CONCATENATE("offshore!",$D45,":", $D45)), 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SUMIFS('VRE-NT2030'!$E:$E,'VRE-NT2030'!$B:$B,$B48,  'VRE-NT2030'!$C:$C,$C48)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SUMIFS('VRE-NT2030'!$E:$E,'VRE-NT2030'!$B:$B,$B49,  'VRE-NT2030'!$C:$C,$C49)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SUMIFS('VRE-NT2030'!$E:$E,'VRE-NT2030'!$B:$B,$B50,  'VRE-NT2030'!$C:$C,$C50)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SUMIFS('VRE-NT2030'!$E:$E,'VRE-NT2030'!$B:$B,$B51,  'VRE-NT2030'!$C:$C,$C51)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SUMIFS('VRE-NT2030'!$E:$E,'VRE-NT2030'!$B:$B,$B52,  'VRE-NT2030'!$C:$C,$C52)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SUMIFS('VRE-NT2030'!$E:$E,'VRE-NT2030'!$B:$B,$B53,  'VRE-NT2030'!$C:$C,$C53)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SUMIFS('VRE-NT2030'!$E:$E,'VRE-NT2030'!$B:$B,$B54,  'VRE-NT2030'!$C:$C,$C54)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SUMIFS('VRE-NT2030'!$E:$E,'VRE-NT2030'!$B:$B,$B55,  'VRE-NT2030'!$C:$C,$C55)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SUMIFS('VRE-NT2030'!$E:$E,'VRE-NT2030'!$B:$B,$B56,  'VRE-NT2030'!$C:$C,$C56)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H35" sqref="H35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_xlfn.XLOOKUP(D5,onshore!$E$5:$E$45,onshore!$B$5:$B$45)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_xlfn.XLOOKUP(D6,onshore!$E$5:$E$45,onshore!$B$5:$B$45)</f>
        <v>DE00</v>
      </c>
      <c r="C6" t="s">
        <v>13</v>
      </c>
      <c r="D6" t="str">
        <f>VLOOKUP($C6, wind!$B$7:$C$47,2,FALSE)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_xlfn.XLOOKUP(D8,onshore!$E$5:$E$45,onshore!$B$5:$B$45)</f>
        <v>NL00</v>
      </c>
      <c r="C8" t="s">
        <v>20</v>
      </c>
      <c r="D8" t="str">
        <f>VLOOKUP($C8, wind!$B$7:$C$47,2,FALSE)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_xlfn.XLOOKUP(D9,onshore!$E$5:$E$45,onshore!$B$5:$B$45)</f>
        <v>BE00</v>
      </c>
      <c r="C9" t="s">
        <v>25</v>
      </c>
      <c r="D9" t="str">
        <f>VLOOKUP($C9, wind!$B$7:$C$47,2,FALSE)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_xlfn.XLOOKUP(D11,onshore!$E$5:$E$45,onshore!$B$5:$B$45)</f>
        <v>FI00</v>
      </c>
      <c r="C11" t="s">
        <v>22</v>
      </c>
      <c r="D11" t="str">
        <f>VLOOKUP($C11, wind!$B$7:$C$47,2,FALSE)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_xlfn.XLOOKUP(D13,onshore!$E$5:$E$45,onshore!$B$5:$B$45)</f>
        <v>ES00</v>
      </c>
      <c r="C13" t="s">
        <v>15</v>
      </c>
      <c r="D13" t="str">
        <f>VLOOKUP($C13, wind!$B$7:$C$47,2,FALSE)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_xlfn.XLOOKUP(D14,onshore!$E$5:$E$45,onshore!$B$5:$B$45)</f>
        <v>PT00</v>
      </c>
      <c r="C14" t="s">
        <v>24</v>
      </c>
      <c r="D14" t="str">
        <f>VLOOKUP($C14, wind!$B$7:$C$47,2,FALSE)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_xlfn.XLOOKUP(D15,onshore!$E$5:$E$45,onshore!$B$5:$B$45)</f>
        <v>FR00</v>
      </c>
      <c r="C15" t="s">
        <v>16</v>
      </c>
      <c r="D15" t="str">
        <f>VLOOKUP($C15, wind!$B$7:$C$47,2,FALSE)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SUMIFS('VRE-NT2030'!$E:$E,'VRE-NT2030'!$B:$B,$B23,  'VRE-NT2030'!$C:$C,$C23)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SUMIFS('VRE-NT2030'!$E:$E,'VRE-NT2030'!$B:$B,$B24,  'VRE-NT2030'!$C:$C,$C24)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SUMIFS('VRE-NT2030'!$E:$E,'VRE-NT2030'!$B:$B,$B25,  'VRE-NT2030'!$C:$C,$C25)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SUMIFS('VRE-NT2030'!$E:$E,'VRE-NT2030'!$B:$B,$B26,  'VRE-NT2030'!$C:$C,$C26)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SUMIFS('VRE-NT2030'!$E:$E,'VRE-NT2030'!$B:$B,$B27,  'VRE-NT2030'!$C:$C,$C27)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SUMIFS('VRE-NT2030'!$E:$E,'VRE-NT2030'!$B:$B,$B28,  'VRE-NT2030'!$C:$C,$C28)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SUMIFS('VRE-NT2030'!$E:$E,'VRE-NT2030'!$B:$B,$B29,  'VRE-NT2030'!$C:$C,$C29)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SUMIFS('VRE-NT2030'!$E:$E,'VRE-NT2030'!$B:$B,$B30,  'VRE-NT2030'!$C:$C,$C30)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SUMIFS('VRE-NT2030'!$E:$E,'VRE-NT2030'!$B:$B,$B31,  'VRE-NT2030'!$C:$C,$C31)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97" t="s">
        <v>55</v>
      </c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9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_xlfn.XLOOKUP(D5,onshore!$E$5:$E$45,onshore!$B$5:$B$45)</f>
        <v>DE00</v>
      </c>
      <c r="C5" s="9" t="s">
        <v>13</v>
      </c>
      <c r="D5" t="str">
        <f>VLOOKUP($C5, wind!$B$7:$C$47,2,FALSE)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_xlfn.XLOOKUP(D6,onshore!$E$5:$E$45,onshore!$B$5:$B$45)</f>
        <v>ES00</v>
      </c>
      <c r="C6" s="9" t="s">
        <v>15</v>
      </c>
      <c r="D6" t="str">
        <f>VLOOKUP($C6, wind!$B$7:$C$47,2,FALSE)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_xlfn.XLOOKUP(D7,onshore!$E$5:$E$45,onshore!$B$5:$B$45)</f>
        <v>0</v>
      </c>
      <c r="C7" s="9" t="s">
        <v>19</v>
      </c>
      <c r="D7" t="str">
        <f>VLOOKUP($C7, wind!$B$7:$C$47,2,FALSE)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_xlfn.XLOOKUP(D8,onshore!$E$5:$E$45,onshore!$B$5:$B$45)</f>
        <v>NL00</v>
      </c>
      <c r="C8" s="9" t="s">
        <v>20</v>
      </c>
      <c r="D8" t="str">
        <f>VLOOKUP($C8, wind!$B$7:$C$47,2,FALSE)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_xlfn.XLOOKUP(D9,onshore!$E$5:$E$45,onshore!$B$5:$B$45)</f>
        <v>FR00</v>
      </c>
      <c r="C9" s="9" t="s">
        <v>16</v>
      </c>
      <c r="D9" t="str">
        <f>VLOOKUP($C9, wind!$B$7:$C$47,2,FALSE)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_xlfn.XLOOKUP(D10,onshore!$E$5:$E$45,onshore!$B$5:$B$45)</f>
        <v>PL00</v>
      </c>
      <c r="C10" s="9" t="s">
        <v>21</v>
      </c>
      <c r="D10" t="str">
        <f>VLOOKUP($C10, wind!$B$7:$C$47,2,FALSE)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_xlfn.XLOOKUP(D11,onshore!$E$5:$E$45,onshore!$B$5:$B$45)</f>
        <v>BE00</v>
      </c>
      <c r="C11" s="9" t="s">
        <v>25</v>
      </c>
      <c r="D11" t="str">
        <f>VLOOKUP($C11, wind!$B$7:$C$47,2,FALSE)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_xlfn.XLOOKUP(D12,onshore!$E$5:$E$45,onshore!$B$5:$B$45)</f>
        <v>0</v>
      </c>
      <c r="C12" s="9" t="s">
        <v>26</v>
      </c>
      <c r="D12" t="str">
        <f>VLOOKUP($C12, wind!$B$7:$C$47,2,FALSE)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_xlfn.XLOOKUP(D13,onshore!$E$5:$E$45,onshore!$B$5:$B$45)</f>
        <v>AT00</v>
      </c>
      <c r="C13" s="9" t="s">
        <v>29</v>
      </c>
      <c r="D13" t="str">
        <f>VLOOKUP($C13, wind!$B$7:$C$47,2,FALSE)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_xlfn.XLOOKUP(D14,onshore!$E$5:$E$45,onshore!$B$5:$B$45)</f>
        <v>0</v>
      </c>
      <c r="C14" s="9" t="s">
        <v>40</v>
      </c>
      <c r="D14" t="str">
        <f>VLOOKUP($C14, wind!$B$7:$C$47,2,FALSE)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_xlfn.XLOOKUP(D15,onshore!$E$5:$E$45,onshore!$B$5:$B$45)</f>
        <v>PT00</v>
      </c>
      <c r="C15" s="9" t="s">
        <v>24</v>
      </c>
      <c r="D15" t="str">
        <f>VLOOKUP($C15, wind!$B$7:$C$47,2,FALSE)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_xlfn.XLOOKUP(D16,onshore!$E$5:$E$45,onshore!$B$5:$B$45)</f>
        <v>0</v>
      </c>
      <c r="C16" s="9" t="s">
        <v>17</v>
      </c>
      <c r="D16" t="str">
        <f>VLOOKUP($C16, wind!$B$7:$C$47,2,FALSE)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_xlfn.XLOOKUP(D17,onshore!$E$5:$E$45,onshore!$B$5:$B$45)</f>
        <v>0</v>
      </c>
      <c r="C17" s="9" t="s">
        <v>30</v>
      </c>
      <c r="D17" t="str">
        <f>VLOOKUP($C17, wind!$B$7:$C$47,2,FALSE)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_xlfn.XLOOKUP(D18,onshore!$E$5:$E$45,onshore!$B$5:$B$45)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_xlfn.XLOOKUP(D19,onshore!$E$5:$E$45,onshore!$B$5:$B$45)</f>
        <v>0</v>
      </c>
      <c r="C19" s="9" t="s">
        <v>23</v>
      </c>
      <c r="D19" t="str">
        <f>VLOOKUP($C19, wind!$B$7:$C$47,2,FALSE)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_xlfn.XLOOKUP(D20,onshore!$E$5:$E$45,onshore!$B$5:$B$45)</f>
        <v>0</v>
      </c>
      <c r="C20" s="9" t="s">
        <v>37</v>
      </c>
      <c r="D20" t="str">
        <f>VLOOKUP($C20, wind!$B$7:$C$47,2,FALSE)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_xlfn.XLOOKUP(D21,onshore!$E$5:$E$45,onshore!$B$5:$B$45)</f>
        <v>LT00</v>
      </c>
      <c r="C21" s="9" t="s">
        <v>33</v>
      </c>
      <c r="D21" t="str">
        <f>VLOOKUP($C21, wind!$B$7:$C$47,2,FALSE)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_xlfn.XLOOKUP(D22,onshore!$E$5:$E$45,onshore!$B$5:$B$45)</f>
        <v>0</v>
      </c>
      <c r="C22" s="9" t="s">
        <v>28</v>
      </c>
      <c r="D22" t="str">
        <f>VLOOKUP($C22, wind!$B$7:$C$47,2,FALSE)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_xlfn.XLOOKUP(D23,onshore!$E$5:$E$45,onshore!$B$5:$B$45)</f>
        <v>EE00</v>
      </c>
      <c r="C23" s="9" t="s">
        <v>36</v>
      </c>
      <c r="D23" t="str">
        <f>VLOOKUP($C23, wind!$B$7:$C$47,2,FALSE)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_xlfn.XLOOKUP(D24,onshore!$E$5:$E$45,onshore!$B$5:$B$45)</f>
        <v>0</v>
      </c>
      <c r="C24" s="9" t="s">
        <v>53</v>
      </c>
      <c r="D24" t="str">
        <f>VLOOKUP($C24, wind!$B$7:$C$47,2,FALSE)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_xlfn.XLOOKUP(D25,onshore!$E$5:$E$45,onshore!$B$5:$B$45)</f>
        <v>FI00</v>
      </c>
      <c r="C25" s="9" t="s">
        <v>22</v>
      </c>
      <c r="D25" t="str">
        <f>VLOOKUP($C25, wind!$B$7:$C$47,2,FALSE)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_xlfn.XLOOKUP(D26,onshore!$E$5:$E$45,onshore!$B$5:$B$45)</f>
        <v>0</v>
      </c>
      <c r="C26" s="9" t="s">
        <v>50</v>
      </c>
      <c r="D26" t="str">
        <f>VLOOKUP($C26, wind!$B$7:$C$47,2,FALSE)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_xlfn.XLOOKUP(D27,onshore!$E$5:$E$45,onshore!$B$5:$B$45)</f>
        <v>0</v>
      </c>
      <c r="C27" s="9" t="s">
        <v>34</v>
      </c>
      <c r="D27" t="str">
        <f>VLOOKUP($C27, wind!$B$7:$C$47,2,FALSE)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_xlfn.XLOOKUP(D28,onshore!$E$5:$E$45,onshore!$B$5:$B$45)</f>
        <v>0</v>
      </c>
      <c r="C28" s="9" t="s">
        <v>43</v>
      </c>
      <c r="D28" t="str">
        <f>VLOOKUP($C28, wind!$B$7:$C$47,2,FALSE)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_xlfn.XLOOKUP(D29,onshore!$E$5:$E$45,onshore!$B$5:$B$45)</f>
        <v>0</v>
      </c>
      <c r="C29" s="9" t="s">
        <v>42</v>
      </c>
      <c r="D29" t="str">
        <f>VLOOKUP($C29, wind!$B$7:$C$47,2,FALSE)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_xlfn.XLOOKUP(D30,onshore!$E$5:$E$45,onshore!$B$5:$B$45)</f>
        <v>LV00</v>
      </c>
      <c r="C30" s="9" t="s">
        <v>45</v>
      </c>
      <c r="D30" t="str">
        <f>VLOOKUP($C30, wind!$B$7:$C$47,2,FALSE)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_xlfn.XLOOKUP(D31,onshore!$E$5:$E$45,onshore!$B$5:$B$45)</f>
        <v>0</v>
      </c>
      <c r="C31" s="9" t="s">
        <v>54</v>
      </c>
      <c r="D31" t="str">
        <f>VLOOKUP($C31, wind!$B$7:$C$47,2,FALSE)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_xlfn.XLOOKUP(D32,onshore!$E$5:$E$45,onshore!$B$5:$B$45)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100" t="s">
        <v>57</v>
      </c>
      <c r="C33" s="101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_xlfn.XLOOKUP(D41,onshore!$E$5:$E$45,onshore!$B$5:$B$45)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_xlfn.XLOOKUP(D45,onshore!$E$5:$E$45,onshore!$B$5:$B$45)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SUMIFS('VRE-NT2030'!$E:$E,'VRE-NT2030'!$B:$B,$B48,  'VRE-NT2030'!$C:$C,$C48)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SUMIFS('VRE-NT2030'!$E:$E,'VRE-NT2030'!$B:$B,$B49,  'VRE-NT2030'!$C:$C,$C49)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SUMIFS('VRE-NT2030'!$E:$E,'VRE-NT2030'!$B:$B,$B50,  'VRE-NT2030'!$C:$C,$C50)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SUMIFS('VRE-NT2030'!$E:$E,'VRE-NT2030'!$B:$B,$B52,  'VRE-NT2030'!$C:$C,$C52)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SUMIFS('VRE-NT2030'!$E:$E,'VRE-NT2030'!$B:$B,$B54,  'VRE-NT2030'!$C:$C,$C54)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SUMIFS('VRE-NT2030'!$E:$E,'VRE-NT2030'!$B:$B,$B55,  'VRE-NT2030'!$C:$C,$C55)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SUMIFS('VRE-NT2030'!$E:$E,'VRE-NT2030'!$B:$B,$B56,  'VRE-NT2030'!$C:$C,$C56)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/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365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365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365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365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365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365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365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365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365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365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365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365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365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365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365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365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365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365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365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365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365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365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107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107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107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107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107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107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107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107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107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107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107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107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107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107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107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107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107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107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107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107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107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107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M268"/>
  <sheetViews>
    <sheetView workbookViewId="0">
      <pane ySplit="1" topLeftCell="A2" activePane="bottomLeft" state="frozen"/>
      <selection pane="bottomLeft" activeCell="J25" sqref="J25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7" width="16.5703125" customWidth="1"/>
    <col min="12" max="12" width="15.42578125" customWidth="1"/>
  </cols>
  <sheetData>
    <row r="1" spans="1:13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228</v>
      </c>
      <c r="G1" s="53" t="s">
        <v>213</v>
      </c>
    </row>
    <row r="2" spans="1:13">
      <c r="A2" s="90" t="s">
        <v>358</v>
      </c>
      <c r="B2" s="90"/>
      <c r="C2" s="90"/>
      <c r="D2" s="90"/>
      <c r="E2" s="90"/>
      <c r="F2" s="90"/>
      <c r="G2" s="90"/>
    </row>
    <row r="3" spans="1:13">
      <c r="A3" t="s">
        <v>111</v>
      </c>
      <c r="B3" t="s">
        <v>217</v>
      </c>
      <c r="C3" s="19" t="s">
        <v>272</v>
      </c>
      <c r="D3" s="19">
        <v>2015</v>
      </c>
      <c r="E3">
        <f ca="1">ROUND(VLOOKUP($A3,    'VRE summary'!$B$2:$AD$23,    MATCH($D3, 'VRE summary'!$B$1:$AD$1, 0), FALSE), 0)</f>
        <v>937</v>
      </c>
      <c r="F3">
        <f>ROUND( VLOOKUP($B3,$L$5:$M$7, 2, FALSE) * (1+ VLOOKUP($A3,'vomcost mult'!$N$10:$R$32,5, FALSE)), 2)</f>
        <v>0.56000000000000005</v>
      </c>
      <c r="G3" s="73" t="str">
        <f t="shared" ref="G3:G66" ca="1" si="0">IF(E3=0, "remove", "replace")</f>
        <v>replace</v>
      </c>
    </row>
    <row r="4" spans="1:13">
      <c r="A4" t="s">
        <v>114</v>
      </c>
      <c r="B4" t="s">
        <v>217</v>
      </c>
      <c r="C4" s="19" t="s">
        <v>272</v>
      </c>
      <c r="D4" s="19">
        <v>2015</v>
      </c>
      <c r="E4">
        <f ca="1">ROUND(VLOOKUP($A4,    'VRE summary'!$B$2:$AD$23,    MATCH($D4, 'VRE summary'!$B$1:$AD$1, 0), FALSE), 0)</f>
        <v>3132</v>
      </c>
      <c r="F4">
        <f>ROUND( VLOOKUP($B4,$L$5:$M$7, 2, FALSE) * (1+ VLOOKUP($A4,'vomcost mult'!$N$10:$R$32,5, FALSE)), 2)</f>
        <v>0.56000000000000005</v>
      </c>
      <c r="G4" s="73" t="str">
        <f t="shared" ca="1" si="0"/>
        <v>replace</v>
      </c>
      <c r="M4" s="17" t="s">
        <v>228</v>
      </c>
    </row>
    <row r="5" spans="1:13">
      <c r="A5" t="s">
        <v>116</v>
      </c>
      <c r="B5" t="s">
        <v>217</v>
      </c>
      <c r="C5" s="19" t="s">
        <v>272</v>
      </c>
      <c r="D5" s="19">
        <v>2015</v>
      </c>
      <c r="E5">
        <f ca="1">ROUND(VLOOKUP($A5,    'VRE summary'!$B$2:$AD$23,    MATCH($D5, 'VRE summary'!$B$1:$AD$1, 0), FALSE), 0)</f>
        <v>1394</v>
      </c>
      <c r="F5">
        <f>ROUND( VLOOKUP($B5,$L$5:$M$7, 2, FALSE) * (1+ VLOOKUP($A5,'vomcost mult'!$N$10:$R$32,5, FALSE)), 2)</f>
        <v>0.73</v>
      </c>
      <c r="G5" s="73" t="str">
        <f t="shared" ca="1" si="0"/>
        <v>replace</v>
      </c>
      <c r="L5" s="17" t="s">
        <v>216</v>
      </c>
      <c r="M5">
        <v>1</v>
      </c>
    </row>
    <row r="6" spans="1:13">
      <c r="A6" t="s">
        <v>117</v>
      </c>
      <c r="B6" t="s">
        <v>217</v>
      </c>
      <c r="C6" s="19" t="s">
        <v>272</v>
      </c>
      <c r="D6" s="19">
        <v>2015</v>
      </c>
      <c r="E6">
        <f ca="1">ROUND(VLOOKUP($A6,    'VRE summary'!$B$2:$AD$23,    MATCH($D6, 'VRE summary'!$B$1:$AD$1, 0), FALSE), 0)</f>
        <v>39222</v>
      </c>
      <c r="F6">
        <f>ROUND( VLOOKUP($B6,$L$5:$M$7, 2, FALSE) * (1+ VLOOKUP($A6,'vomcost mult'!$N$10:$R$32,5, FALSE)), 2)</f>
        <v>0.55000000000000004</v>
      </c>
      <c r="G6" s="73" t="str">
        <f t="shared" ca="1" si="0"/>
        <v>replace</v>
      </c>
      <c r="L6" s="17" t="s">
        <v>215</v>
      </c>
      <c r="M6">
        <v>1.5</v>
      </c>
    </row>
    <row r="7" spans="1:13">
      <c r="A7" t="s">
        <v>118</v>
      </c>
      <c r="B7" t="s">
        <v>217</v>
      </c>
      <c r="C7" s="19" t="s">
        <v>272</v>
      </c>
      <c r="D7" s="19">
        <v>2015</v>
      </c>
      <c r="E7">
        <f ca="1">ROUND(VLOOKUP($A7,    'VRE summary'!$B$2:$AD$23,    MATCH($D7, 'VRE summary'!$B$1:$AD$1, 0), FALSE), 0)</f>
        <v>215</v>
      </c>
      <c r="F7">
        <f>ROUND( VLOOKUP($B7,$L$5:$M$7, 2, FALSE) * (1+ VLOOKUP($A7,'vomcost mult'!$N$10:$R$32,5, FALSE)), 2)</f>
        <v>0.63</v>
      </c>
      <c r="G7" s="73" t="str">
        <f t="shared" ca="1" si="0"/>
        <v>replace</v>
      </c>
      <c r="L7" s="17" t="s">
        <v>217</v>
      </c>
      <c r="M7">
        <v>0.5</v>
      </c>
    </row>
    <row r="8" spans="1:13">
      <c r="A8" t="s">
        <v>119</v>
      </c>
      <c r="B8" t="s">
        <v>217</v>
      </c>
      <c r="C8" s="19" t="s">
        <v>272</v>
      </c>
      <c r="D8" s="19">
        <v>2015</v>
      </c>
      <c r="E8">
        <f ca="1">ROUND(VLOOKUP($A8,    'VRE summary'!$B$2:$AD$23,    MATCH($D8, 'VRE summary'!$B$1:$AD$1, 0), FALSE), 0)</f>
        <v>567</v>
      </c>
      <c r="F8">
        <f>ROUND( VLOOKUP($B8,$L$5:$M$7, 2, FALSE) * (1+ VLOOKUP($A8,'vomcost mult'!$N$10:$R$32,5, FALSE)), 2)</f>
        <v>0.62</v>
      </c>
      <c r="G8" s="73" t="str">
        <f t="shared" ca="1" si="0"/>
        <v>replace</v>
      </c>
    </row>
    <row r="9" spans="1:13">
      <c r="A9" t="s">
        <v>120</v>
      </c>
      <c r="B9" t="s">
        <v>217</v>
      </c>
      <c r="C9" s="19" t="s">
        <v>272</v>
      </c>
      <c r="D9" s="19">
        <v>2015</v>
      </c>
      <c r="E9">
        <f ca="1">ROUND(VLOOKUP($A9,    'VRE summary'!$B$2:$AD$23,    MATCH($D9, 'VRE summary'!$B$1:$AD$1, 0), FALSE), 0)</f>
        <v>7</v>
      </c>
      <c r="F9">
        <f>ROUND( VLOOKUP($B9,$L$5:$M$7, 2, FALSE) * (1+ VLOOKUP($A9,'vomcost mult'!$N$10:$R$32,5, FALSE)), 2)</f>
        <v>0.4</v>
      </c>
      <c r="G9" s="73" t="str">
        <f t="shared" ca="1" si="0"/>
        <v>replace</v>
      </c>
    </row>
    <row r="10" spans="1:13">
      <c r="A10" t="s">
        <v>121</v>
      </c>
      <c r="B10" t="s">
        <v>217</v>
      </c>
      <c r="C10" s="19" t="s">
        <v>272</v>
      </c>
      <c r="D10" s="19">
        <v>2015</v>
      </c>
      <c r="E10">
        <f ca="1">ROUND(VLOOKUP($A10,    'VRE summary'!$B$2:$AD$23,    MATCH($D10, 'VRE summary'!$B$1:$AD$1, 0), FALSE), 0)</f>
        <v>4704</v>
      </c>
      <c r="F10">
        <f>ROUND( VLOOKUP($B10,$L$5:$M$7, 2, FALSE) * (1+ VLOOKUP($A10,'vomcost mult'!$N$10:$R$32,5, FALSE)), 2)</f>
        <v>0.46</v>
      </c>
      <c r="G10" s="73" t="str">
        <f t="shared" ca="1" si="0"/>
        <v>replace</v>
      </c>
    </row>
    <row r="11" spans="1:13">
      <c r="A11" t="s">
        <v>122</v>
      </c>
      <c r="B11" t="s">
        <v>217</v>
      </c>
      <c r="C11" s="19" t="s">
        <v>272</v>
      </c>
      <c r="D11" s="19">
        <v>2015</v>
      </c>
      <c r="E11">
        <f ca="1">ROUND(VLOOKUP($A11,    'VRE summary'!$B$2:$AD$23,    MATCH($D11, 'VRE summary'!$B$1:$AD$1, 0), FALSE), 0)</f>
        <v>17</v>
      </c>
      <c r="F11">
        <f>ROUND( VLOOKUP($B11,$L$5:$M$7, 2, FALSE) * (1+ VLOOKUP($A11,'vomcost mult'!$N$10:$R$32,5, FALSE)), 2)</f>
        <v>0.55000000000000004</v>
      </c>
      <c r="G11" s="73" t="str">
        <f t="shared" ca="1" si="0"/>
        <v>replace</v>
      </c>
    </row>
    <row r="12" spans="1:13">
      <c r="A12" t="s">
        <v>123</v>
      </c>
      <c r="B12" t="s">
        <v>217</v>
      </c>
      <c r="C12" s="19" t="s">
        <v>272</v>
      </c>
      <c r="D12" s="19">
        <v>2015</v>
      </c>
      <c r="E12">
        <f ca="1">ROUND(VLOOKUP($A12,    'VRE summary'!$B$2:$AD$23,    MATCH($D12, 'VRE summary'!$B$1:$AD$1, 0), FALSE), 0)</f>
        <v>7138</v>
      </c>
      <c r="F12">
        <f>ROUND( VLOOKUP($B12,$L$5:$M$7, 2, FALSE) * (1+ VLOOKUP($A12,'vomcost mult'!$N$10:$R$32,5, FALSE)), 2)</f>
        <v>0.53</v>
      </c>
      <c r="G12" s="73" t="str">
        <f t="shared" ca="1" si="0"/>
        <v>replace</v>
      </c>
    </row>
    <row r="13" spans="1:13">
      <c r="A13" t="s">
        <v>124</v>
      </c>
      <c r="B13" t="s">
        <v>217</v>
      </c>
      <c r="C13" s="19" t="s">
        <v>272</v>
      </c>
      <c r="D13" s="19">
        <v>2015</v>
      </c>
      <c r="E13">
        <f ca="1">ROUND(VLOOKUP($A13,    'VRE summary'!$B$2:$AD$23,    MATCH($D13, 'VRE summary'!$B$1:$AD$1, 0), FALSE), 0)</f>
        <v>69</v>
      </c>
      <c r="F13">
        <f>ROUND( VLOOKUP($B13,$L$5:$M$7, 2, FALSE) * (1+ VLOOKUP($A13,'vomcost mult'!$N$10:$R$32,5, FALSE)), 2)</f>
        <v>0.38</v>
      </c>
      <c r="G13" s="73" t="str">
        <f t="shared" ca="1" si="0"/>
        <v>replace</v>
      </c>
    </row>
    <row r="14" spans="1:13">
      <c r="A14" t="s">
        <v>125</v>
      </c>
      <c r="B14" t="s">
        <v>217</v>
      </c>
      <c r="C14" s="19" t="s">
        <v>272</v>
      </c>
      <c r="D14" s="19">
        <v>2015</v>
      </c>
      <c r="E14">
        <f ca="1">ROUND(VLOOKUP($A14,    'VRE summary'!$B$2:$AD$23,    MATCH($D14, 'VRE summary'!$B$1:$AD$1, 0), FALSE), 0)</f>
        <v>2</v>
      </c>
      <c r="F14">
        <f>ROUND( VLOOKUP($B14,$L$5:$M$7, 2, FALSE) * (1+ VLOOKUP($A14,'vomcost mult'!$N$10:$R$32,5, FALSE)), 2)</f>
        <v>0.35</v>
      </c>
      <c r="G14" s="73" t="str">
        <f t="shared" ca="1" si="0"/>
        <v>replace</v>
      </c>
    </row>
    <row r="15" spans="1:13">
      <c r="A15" t="s">
        <v>126</v>
      </c>
      <c r="B15" t="s">
        <v>217</v>
      </c>
      <c r="C15" s="19" t="s">
        <v>272</v>
      </c>
      <c r="D15" s="19">
        <v>2015</v>
      </c>
      <c r="E15">
        <f ca="1">ROUND(VLOOKUP($A15,    'VRE summary'!$B$2:$AD$23,    MATCH($D15, 'VRE summary'!$B$1:$AD$1, 0), FALSE), 0)</f>
        <v>1526</v>
      </c>
      <c r="F15">
        <f>ROUND( VLOOKUP($B15,$L$5:$M$7, 2, FALSE) * (1+ VLOOKUP($A15,'vomcost mult'!$N$10:$R$32,5, FALSE)), 2)</f>
        <v>0.59</v>
      </c>
      <c r="G15" s="73" t="str">
        <f t="shared" ca="1" si="0"/>
        <v>replace</v>
      </c>
    </row>
    <row r="16" spans="1:13">
      <c r="A16" t="s">
        <v>127</v>
      </c>
      <c r="B16" t="s">
        <v>217</v>
      </c>
      <c r="C16" s="19" t="s">
        <v>272</v>
      </c>
      <c r="D16" s="19">
        <v>2015</v>
      </c>
      <c r="E16">
        <f ca="1">ROUND(VLOOKUP($A16,    'VRE summary'!$B$2:$AD$23,    MATCH($D16, 'VRE summary'!$B$1:$AD$1, 0), FALSE), 0)</f>
        <v>5</v>
      </c>
      <c r="F16">
        <f>ROUND( VLOOKUP($B16,$L$5:$M$7, 2, FALSE) * (1+ VLOOKUP($A16,'vomcost mult'!$N$10:$R$32,5, FALSE)), 2)</f>
        <v>0.66</v>
      </c>
      <c r="G16" s="73" t="str">
        <f t="shared" ca="1" si="0"/>
        <v>replace</v>
      </c>
    </row>
    <row r="17" spans="1:7">
      <c r="A17" t="s">
        <v>128</v>
      </c>
      <c r="B17" t="s">
        <v>217</v>
      </c>
      <c r="C17" s="19" t="s">
        <v>272</v>
      </c>
      <c r="D17" s="19">
        <v>2015</v>
      </c>
      <c r="E17">
        <f ca="1">ROUND(VLOOKUP($A17,    'VRE summary'!$B$2:$AD$23,    MATCH($D17, 'VRE summary'!$B$1:$AD$1, 0), FALSE), 0)</f>
        <v>1</v>
      </c>
      <c r="F17">
        <f>ROUND( VLOOKUP($B17,$L$5:$M$7, 2, FALSE) * (1+ VLOOKUP($A17,'vomcost mult'!$N$10:$R$32,5, FALSE)), 2)</f>
        <v>0.66</v>
      </c>
      <c r="G17" s="73" t="str">
        <f t="shared" ca="1" si="0"/>
        <v>replace</v>
      </c>
    </row>
    <row r="18" spans="1:7">
      <c r="A18" t="s">
        <v>129</v>
      </c>
      <c r="B18" t="s">
        <v>217</v>
      </c>
      <c r="C18" s="19" t="s">
        <v>272</v>
      </c>
      <c r="D18" s="19">
        <v>2015</v>
      </c>
      <c r="E18">
        <f ca="1">ROUND(VLOOKUP($A18,    'VRE summary'!$B$2:$AD$23,    MATCH($D18, 'VRE summary'!$B$1:$AD$1, 0), FALSE), 0)</f>
        <v>14</v>
      </c>
      <c r="F18">
        <f>ROUND( VLOOKUP($B18,$L$5:$M$7, 2, FALSE) * (1+ VLOOKUP($A18,'vomcost mult'!$N$10:$R$32,5, FALSE)), 2)</f>
        <v>0.65</v>
      </c>
      <c r="G18" s="73" t="str">
        <f t="shared" ca="1" si="0"/>
        <v>replace</v>
      </c>
    </row>
    <row r="19" spans="1:7">
      <c r="A19" t="s">
        <v>130</v>
      </c>
      <c r="B19" t="s">
        <v>217</v>
      </c>
      <c r="C19" s="19" t="s">
        <v>272</v>
      </c>
      <c r="D19" s="19">
        <v>2015</v>
      </c>
      <c r="E19">
        <f ca="1">ROUND(VLOOKUP($A19,    'VRE summary'!$B$2:$AD$23,    MATCH($D19, 'VRE summary'!$B$1:$AD$1, 0), FALSE), 0)</f>
        <v>108</v>
      </c>
      <c r="F19">
        <f>ROUND( VLOOKUP($B19,$L$5:$M$7, 2, FALSE) * (1+ VLOOKUP($A19,'vomcost mult'!$N$10:$R$32,5, FALSE)), 2)</f>
        <v>0.35</v>
      </c>
      <c r="G19" s="73" t="str">
        <f t="shared" ca="1" si="0"/>
        <v>replace</v>
      </c>
    </row>
    <row r="20" spans="1:7">
      <c r="A20" t="s">
        <v>131</v>
      </c>
      <c r="B20" t="s">
        <v>217</v>
      </c>
      <c r="C20" s="19" t="s">
        <v>272</v>
      </c>
      <c r="D20" s="19">
        <v>2015</v>
      </c>
      <c r="E20">
        <f ca="1">ROUND(VLOOKUP($A20,    'VRE summary'!$B$2:$AD$23,    MATCH($D20, 'VRE summary'!$B$1:$AD$1, 0), FALSE), 0)</f>
        <v>1</v>
      </c>
      <c r="F20">
        <f>ROUND( VLOOKUP($B20,$L$5:$M$7, 2, FALSE) * (1+ VLOOKUP($A20,'vomcost mult'!$N$10:$R$32,5, FALSE)), 2)</f>
        <v>0.59</v>
      </c>
      <c r="G20" s="73" t="str">
        <f t="shared" ca="1" si="0"/>
        <v>replace</v>
      </c>
    </row>
    <row r="21" spans="1:7">
      <c r="A21" t="s">
        <v>132</v>
      </c>
      <c r="B21" t="s">
        <v>217</v>
      </c>
      <c r="C21" s="19" t="s">
        <v>272</v>
      </c>
      <c r="D21" s="19">
        <v>2015</v>
      </c>
      <c r="E21">
        <f ca="1">ROUND(VLOOKUP($A21,    'VRE summary'!$B$2:$AD$23,    MATCH($D21, 'VRE summary'!$B$1:$AD$1, 0), FALSE), 0)</f>
        <v>5</v>
      </c>
      <c r="F21">
        <f>ROUND( VLOOKUP($B21,$L$5:$M$7, 2, FALSE) * (1+ VLOOKUP($A21,'vomcost mult'!$N$10:$R$32,5, FALSE)), 2)</f>
        <v>0.59</v>
      </c>
      <c r="G21" s="73" t="str">
        <f t="shared" ca="1" si="0"/>
        <v>replace</v>
      </c>
    </row>
    <row r="22" spans="1:7">
      <c r="A22" t="s">
        <v>133</v>
      </c>
      <c r="B22" t="s">
        <v>217</v>
      </c>
      <c r="C22" s="19" t="s">
        <v>272</v>
      </c>
      <c r="D22" s="19">
        <v>2015</v>
      </c>
      <c r="E22">
        <f ca="1">ROUND(VLOOKUP($A22,    'VRE summary'!$B$2:$AD$23,    MATCH($D22, 'VRE summary'!$B$1:$AD$1, 0), FALSE), 0)</f>
        <v>68</v>
      </c>
      <c r="F22">
        <f>ROUND( VLOOKUP($B22,$L$5:$M$7, 2, FALSE) * (1+ VLOOKUP($A22,'vomcost mult'!$N$10:$R$32,5, FALSE)), 2)</f>
        <v>0.57999999999999996</v>
      </c>
      <c r="G22" s="73" t="str">
        <f t="shared" ca="1" si="0"/>
        <v>replace</v>
      </c>
    </row>
    <row r="23" spans="1:7">
      <c r="A23" t="s">
        <v>134</v>
      </c>
      <c r="B23" t="s">
        <v>217</v>
      </c>
      <c r="C23" s="19" t="s">
        <v>272</v>
      </c>
      <c r="D23" s="19">
        <v>2015</v>
      </c>
      <c r="E23">
        <f ca="1">ROUND(VLOOKUP($A23,    'VRE summary'!$B$2:$AD$23,    MATCH($D23, 'VRE summary'!$B$1:$AD$1, 0), FALSE), 0)</f>
        <v>30</v>
      </c>
      <c r="F23">
        <f>ROUND( VLOOKUP($B23,$L$5:$M$7, 2, FALSE) * (1+ VLOOKUP($A23,'vomcost mult'!$N$10:$R$32,5, FALSE)), 2)</f>
        <v>0.57999999999999996</v>
      </c>
      <c r="G23" s="73" t="str">
        <f t="shared" ca="1" si="0"/>
        <v>replace</v>
      </c>
    </row>
    <row r="24" spans="1:7">
      <c r="A24" t="s">
        <v>135</v>
      </c>
      <c r="B24" t="s">
        <v>217</v>
      </c>
      <c r="C24" s="19" t="s">
        <v>272</v>
      </c>
      <c r="D24" s="19">
        <v>2015</v>
      </c>
      <c r="E24">
        <f ca="1">ROUND(VLOOKUP($A24,    'VRE summary'!$B$2:$AD$23,    MATCH($D24, 'VRE summary'!$B$1:$AD$1, 0), FALSE), 0)</f>
        <v>9601</v>
      </c>
      <c r="F24">
        <f>ROUND( VLOOKUP($B24,$L$5:$M$7, 2, FALSE) * (1+ VLOOKUP($A24,'vomcost mult'!$N$10:$R$32,5, FALSE)), 2)</f>
        <v>0.57999999999999996</v>
      </c>
      <c r="G24" s="73" t="str">
        <f t="shared" ca="1" si="0"/>
        <v>replace</v>
      </c>
    </row>
    <row r="25" spans="1:7">
      <c r="A25" t="s">
        <v>111</v>
      </c>
      <c r="B25" t="s">
        <v>217</v>
      </c>
      <c r="C25" s="19" t="s">
        <v>272</v>
      </c>
      <c r="D25" s="19">
        <v>2020</v>
      </c>
      <c r="E25">
        <f ca="1">ROUND(VLOOKUP($A25,    'VRE summary'!$B$2:$AD$23,    MATCH($D25, 'VRE summary'!$B$1:$AD$1, 0), FALSE), 0)</f>
        <v>2043</v>
      </c>
      <c r="F25">
        <f>ROUND( VLOOKUP($B25,$L$5:$M$7, 2, FALSE) * (1+ VLOOKUP($A25,'vomcost mult'!$N$10:$R$32,5, FALSE)), 2)</f>
        <v>0.56000000000000005</v>
      </c>
      <c r="G25" s="73" t="str">
        <f t="shared" ca="1" si="0"/>
        <v>replace</v>
      </c>
    </row>
    <row r="26" spans="1:7">
      <c r="A26" t="s">
        <v>114</v>
      </c>
      <c r="B26" t="s">
        <v>217</v>
      </c>
      <c r="C26" s="19" t="s">
        <v>272</v>
      </c>
      <c r="D26" s="19">
        <v>2020</v>
      </c>
      <c r="E26">
        <f ca="1">ROUND(VLOOKUP($A26,    'VRE summary'!$B$2:$AD$23,    MATCH($D26, 'VRE summary'!$B$1:$AD$1, 0), FALSE), 0)</f>
        <v>5573</v>
      </c>
      <c r="F26">
        <f>ROUND( VLOOKUP($B26,$L$5:$M$7, 2, FALSE) * (1+ VLOOKUP($A26,'vomcost mult'!$N$10:$R$32,5, FALSE)), 2)</f>
        <v>0.56000000000000005</v>
      </c>
      <c r="G26" s="73" t="str">
        <f t="shared" ca="1" si="0"/>
        <v>replace</v>
      </c>
    </row>
    <row r="27" spans="1:7">
      <c r="A27" t="s">
        <v>116</v>
      </c>
      <c r="B27" t="s">
        <v>217</v>
      </c>
      <c r="C27" s="19" t="s">
        <v>272</v>
      </c>
      <c r="D27" s="19">
        <v>2020</v>
      </c>
      <c r="E27">
        <f ca="1">ROUND(VLOOKUP($A27,    'VRE summary'!$B$2:$AD$23,    MATCH($D27, 'VRE summary'!$B$1:$AD$1, 0), FALSE), 0)</f>
        <v>2973</v>
      </c>
      <c r="F27">
        <f>ROUND( VLOOKUP($B27,$L$5:$M$7, 2, FALSE) * (1+ VLOOKUP($A27,'vomcost mult'!$N$10:$R$32,5, FALSE)), 2)</f>
        <v>0.73</v>
      </c>
      <c r="G27" s="73" t="str">
        <f t="shared" ca="1" si="0"/>
        <v>replace</v>
      </c>
    </row>
    <row r="28" spans="1:7">
      <c r="A28" t="s">
        <v>117</v>
      </c>
      <c r="B28" t="s">
        <v>217</v>
      </c>
      <c r="C28" s="19" t="s">
        <v>272</v>
      </c>
      <c r="D28" s="19">
        <v>2020</v>
      </c>
      <c r="E28">
        <f ca="1">ROUND(VLOOKUP($A28,    'VRE summary'!$B$2:$AD$23,    MATCH($D28, 'VRE summary'!$B$1:$AD$1, 0), FALSE), 0)</f>
        <v>53669</v>
      </c>
      <c r="F28">
        <f>ROUND( VLOOKUP($B28,$L$5:$M$7, 2, FALSE) * (1+ VLOOKUP($A28,'vomcost mult'!$N$10:$R$32,5, FALSE)), 2)</f>
        <v>0.55000000000000004</v>
      </c>
      <c r="G28" s="73" t="str">
        <f t="shared" ca="1" si="0"/>
        <v>replace</v>
      </c>
    </row>
    <row r="29" spans="1:7">
      <c r="A29" t="s">
        <v>118</v>
      </c>
      <c r="B29" t="s">
        <v>217</v>
      </c>
      <c r="C29" s="19" t="s">
        <v>272</v>
      </c>
      <c r="D29" s="19">
        <v>2020</v>
      </c>
      <c r="E29">
        <f ca="1">ROUND(VLOOKUP($A29,    'VRE summary'!$B$2:$AD$23,    MATCH($D29, 'VRE summary'!$B$1:$AD$1, 0), FALSE), 0)</f>
        <v>359</v>
      </c>
      <c r="F29">
        <f>ROUND( VLOOKUP($B29,$L$5:$M$7, 2, FALSE) * (1+ VLOOKUP($A29,'vomcost mult'!$N$10:$R$32,5, FALSE)), 2)</f>
        <v>0.63</v>
      </c>
      <c r="G29" s="73" t="str">
        <f t="shared" ca="1" si="0"/>
        <v>replace</v>
      </c>
    </row>
    <row r="30" spans="1:7">
      <c r="A30" t="s">
        <v>119</v>
      </c>
      <c r="B30" t="s">
        <v>217</v>
      </c>
      <c r="C30" s="19" t="s">
        <v>272</v>
      </c>
      <c r="D30" s="19">
        <v>2020</v>
      </c>
      <c r="E30">
        <f ca="1">ROUND(VLOOKUP($A30,    'VRE summary'!$B$2:$AD$23,    MATCH($D30, 'VRE summary'!$B$1:$AD$1, 0), FALSE), 0)</f>
        <v>945</v>
      </c>
      <c r="F30">
        <f>ROUND( VLOOKUP($B30,$L$5:$M$7, 2, FALSE) * (1+ VLOOKUP($A30,'vomcost mult'!$N$10:$R$32,5, FALSE)), 2)</f>
        <v>0.62</v>
      </c>
      <c r="G30" s="73" t="str">
        <f t="shared" ca="1" si="0"/>
        <v>replace</v>
      </c>
    </row>
    <row r="31" spans="1:7">
      <c r="A31" t="s">
        <v>120</v>
      </c>
      <c r="B31" t="s">
        <v>217</v>
      </c>
      <c r="C31" s="19" t="s">
        <v>272</v>
      </c>
      <c r="D31" s="19">
        <v>2020</v>
      </c>
      <c r="E31">
        <f ca="1">ROUND(VLOOKUP($A31,    'VRE summary'!$B$2:$AD$23,    MATCH($D31, 'VRE summary'!$B$1:$AD$1, 0), FALSE), 0)</f>
        <v>208</v>
      </c>
      <c r="F31">
        <f>ROUND( VLOOKUP($B31,$L$5:$M$7, 2, FALSE) * (1+ VLOOKUP($A31,'vomcost mult'!$N$10:$R$32,5, FALSE)), 2)</f>
        <v>0.4</v>
      </c>
      <c r="G31" s="73" t="str">
        <f t="shared" ca="1" si="0"/>
        <v>replace</v>
      </c>
    </row>
    <row r="32" spans="1:7">
      <c r="A32" t="s">
        <v>121</v>
      </c>
      <c r="B32" t="s">
        <v>217</v>
      </c>
      <c r="C32" s="19" t="s">
        <v>272</v>
      </c>
      <c r="D32" s="19">
        <v>2020</v>
      </c>
      <c r="E32">
        <f ca="1">ROUND(VLOOKUP($A32,    'VRE summary'!$B$2:$AD$23,    MATCH($D32, 'VRE summary'!$B$1:$AD$1, 0), FALSE), 0)</f>
        <v>10136</v>
      </c>
      <c r="F32">
        <f>ROUND( VLOOKUP($B32,$L$5:$M$7, 2, FALSE) * (1+ VLOOKUP($A32,'vomcost mult'!$N$10:$R$32,5, FALSE)), 2)</f>
        <v>0.46</v>
      </c>
      <c r="G32" s="73" t="str">
        <f t="shared" ca="1" si="0"/>
        <v>replace</v>
      </c>
    </row>
    <row r="33" spans="1:7">
      <c r="A33" t="s">
        <v>122</v>
      </c>
      <c r="B33" t="s">
        <v>217</v>
      </c>
      <c r="C33" s="19" t="s">
        <v>272</v>
      </c>
      <c r="D33" s="19">
        <v>2020</v>
      </c>
      <c r="E33">
        <f ca="1">ROUND(VLOOKUP($A33,    'VRE summary'!$B$2:$AD$23,    MATCH($D33, 'VRE summary'!$B$1:$AD$1, 0), FALSE), 0)</f>
        <v>318</v>
      </c>
      <c r="F33">
        <f>ROUND( VLOOKUP($B33,$L$5:$M$7, 2, FALSE) * (1+ VLOOKUP($A33,'vomcost mult'!$N$10:$R$32,5, FALSE)), 2)</f>
        <v>0.55000000000000004</v>
      </c>
      <c r="G33" s="73" t="str">
        <f t="shared" ca="1" si="0"/>
        <v>replace</v>
      </c>
    </row>
    <row r="34" spans="1:7">
      <c r="A34" t="s">
        <v>123</v>
      </c>
      <c r="B34" t="s">
        <v>217</v>
      </c>
      <c r="C34" s="19" t="s">
        <v>272</v>
      </c>
      <c r="D34" s="19">
        <v>2020</v>
      </c>
      <c r="E34">
        <f ca="1">ROUND(VLOOKUP($A34,    'VRE summary'!$B$2:$AD$23,    MATCH($D34, 'VRE summary'!$B$1:$AD$1, 0), FALSE), 0)</f>
        <v>12056</v>
      </c>
      <c r="F34">
        <f>ROUND( VLOOKUP($B34,$L$5:$M$7, 2, FALSE) * (1+ VLOOKUP($A34,'vomcost mult'!$N$10:$R$32,5, FALSE)), 2)</f>
        <v>0.53</v>
      </c>
      <c r="G34" s="73" t="str">
        <f t="shared" ca="1" si="0"/>
        <v>replace</v>
      </c>
    </row>
    <row r="35" spans="1:7">
      <c r="A35" t="s">
        <v>124</v>
      </c>
      <c r="B35" t="s">
        <v>217</v>
      </c>
      <c r="C35" s="19" t="s">
        <v>272</v>
      </c>
      <c r="D35" s="19">
        <v>2020</v>
      </c>
      <c r="E35">
        <f ca="1">ROUND(VLOOKUP($A35,    'VRE summary'!$B$2:$AD$23,    MATCH($D35, 'VRE summary'!$B$1:$AD$1, 0), FALSE), 0)</f>
        <v>164</v>
      </c>
      <c r="F35">
        <f>ROUND( VLOOKUP($B35,$L$5:$M$7, 2, FALSE) * (1+ VLOOKUP($A35,'vomcost mult'!$N$10:$R$32,5, FALSE)), 2)</f>
        <v>0.38</v>
      </c>
      <c r="G35" s="73" t="str">
        <f t="shared" ca="1" si="0"/>
        <v>replace</v>
      </c>
    </row>
    <row r="36" spans="1:7">
      <c r="A36" t="s">
        <v>125</v>
      </c>
      <c r="B36" t="s">
        <v>217</v>
      </c>
      <c r="C36" s="19" t="s">
        <v>272</v>
      </c>
      <c r="D36" s="19">
        <v>2020</v>
      </c>
      <c r="E36">
        <f ca="1">ROUND(VLOOKUP($A36,    'VRE summary'!$B$2:$AD$23,    MATCH($D36, 'VRE summary'!$B$1:$AD$1, 0), FALSE), 0)</f>
        <v>5</v>
      </c>
      <c r="F36">
        <f>ROUND( VLOOKUP($B36,$L$5:$M$7, 2, FALSE) * (1+ VLOOKUP($A36,'vomcost mult'!$N$10:$R$32,5, FALSE)), 2)</f>
        <v>0.35</v>
      </c>
      <c r="G36" s="73" t="str">
        <f t="shared" ca="1" si="0"/>
        <v>replace</v>
      </c>
    </row>
    <row r="37" spans="1:7">
      <c r="A37" t="s">
        <v>126</v>
      </c>
      <c r="B37" t="s">
        <v>217</v>
      </c>
      <c r="C37" s="19" t="s">
        <v>272</v>
      </c>
      <c r="D37" s="19">
        <v>2020</v>
      </c>
      <c r="E37">
        <f ca="1">ROUND(VLOOKUP($A37,    'VRE summary'!$B$2:$AD$23,    MATCH($D37, 'VRE summary'!$B$1:$AD$1, 0), FALSE), 0)</f>
        <v>11108</v>
      </c>
      <c r="F37">
        <f>ROUND( VLOOKUP($B37,$L$5:$M$7, 2, FALSE) * (1+ VLOOKUP($A37,'vomcost mult'!$N$10:$R$32,5, FALSE)), 2)</f>
        <v>0.59</v>
      </c>
      <c r="G37" s="73" t="str">
        <f t="shared" ca="1" si="0"/>
        <v>replace</v>
      </c>
    </row>
    <row r="38" spans="1:7">
      <c r="A38" t="s">
        <v>127</v>
      </c>
      <c r="B38" t="s">
        <v>217</v>
      </c>
      <c r="C38" s="19" t="s">
        <v>272</v>
      </c>
      <c r="D38" s="19">
        <v>2020</v>
      </c>
      <c r="E38">
        <f ca="1">ROUND(VLOOKUP($A38,    'VRE summary'!$B$2:$AD$23,    MATCH($D38, 'VRE summary'!$B$1:$AD$1, 0), FALSE), 0)</f>
        <v>38</v>
      </c>
      <c r="F38">
        <f>ROUND( VLOOKUP($B38,$L$5:$M$7, 2, FALSE) * (1+ VLOOKUP($A38,'vomcost mult'!$N$10:$R$32,5, FALSE)), 2)</f>
        <v>0.66</v>
      </c>
      <c r="G38" s="73" t="str">
        <f t="shared" ca="1" si="0"/>
        <v>replace</v>
      </c>
    </row>
    <row r="39" spans="1:7">
      <c r="A39" t="s">
        <v>128</v>
      </c>
      <c r="B39" t="s">
        <v>217</v>
      </c>
      <c r="C39" s="19" t="s">
        <v>272</v>
      </c>
      <c r="D39" s="19">
        <v>2020</v>
      </c>
      <c r="E39">
        <f ca="1">ROUND(VLOOKUP($A39,    'VRE summary'!$B$2:$AD$23,    MATCH($D39, 'VRE summary'!$B$1:$AD$1, 0), FALSE), 0)</f>
        <v>10</v>
      </c>
      <c r="F39">
        <f>ROUND( VLOOKUP($B39,$L$5:$M$7, 2, FALSE) * (1+ VLOOKUP($A39,'vomcost mult'!$N$10:$R$32,5, FALSE)), 2)</f>
        <v>0.66</v>
      </c>
      <c r="G39" s="73" t="str">
        <f t="shared" ca="1" si="0"/>
        <v>replace</v>
      </c>
    </row>
    <row r="40" spans="1:7">
      <c r="A40" t="s">
        <v>129</v>
      </c>
      <c r="B40" t="s">
        <v>217</v>
      </c>
      <c r="C40" s="19" t="s">
        <v>272</v>
      </c>
      <c r="D40" s="19">
        <v>2020</v>
      </c>
      <c r="E40">
        <f ca="1">ROUND(VLOOKUP($A40,    'VRE summary'!$B$2:$AD$23,    MATCH($D40, 'VRE summary'!$B$1:$AD$1, 0), FALSE), 0)</f>
        <v>113</v>
      </c>
      <c r="F40">
        <f>ROUND( VLOOKUP($B40,$L$5:$M$7, 2, FALSE) * (1+ VLOOKUP($A40,'vomcost mult'!$N$10:$R$32,5, FALSE)), 2)</f>
        <v>0.65</v>
      </c>
      <c r="G40" s="73" t="str">
        <f t="shared" ca="1" si="0"/>
        <v>replace</v>
      </c>
    </row>
    <row r="41" spans="1:7">
      <c r="A41" t="s">
        <v>130</v>
      </c>
      <c r="B41" t="s">
        <v>217</v>
      </c>
      <c r="C41" s="19" t="s">
        <v>272</v>
      </c>
      <c r="D41" s="19">
        <v>2020</v>
      </c>
      <c r="E41">
        <f ca="1">ROUND(VLOOKUP($A41,    'VRE summary'!$B$2:$AD$23,    MATCH($D41, 'VRE summary'!$B$1:$AD$1, 0), FALSE), 0)</f>
        <v>3955</v>
      </c>
      <c r="F41">
        <f>ROUND( VLOOKUP($B41,$L$5:$M$7, 2, FALSE) * (1+ VLOOKUP($A41,'vomcost mult'!$N$10:$R$32,5, FALSE)), 2)</f>
        <v>0.35</v>
      </c>
      <c r="G41" s="73" t="str">
        <f t="shared" ca="1" si="0"/>
        <v>replace</v>
      </c>
    </row>
    <row r="42" spans="1:7">
      <c r="A42" t="s">
        <v>131</v>
      </c>
      <c r="B42" t="s">
        <v>217</v>
      </c>
      <c r="C42" s="19" t="s">
        <v>272</v>
      </c>
      <c r="D42" s="19">
        <v>2020</v>
      </c>
      <c r="E42">
        <f ca="1">ROUND(VLOOKUP($A42,    'VRE summary'!$B$2:$AD$23,    MATCH($D42, 'VRE summary'!$B$1:$AD$1, 0), FALSE), 0)</f>
        <v>14</v>
      </c>
      <c r="F42">
        <f>ROUND( VLOOKUP($B42,$L$5:$M$7, 2, FALSE) * (1+ VLOOKUP($A42,'vomcost mult'!$N$10:$R$32,5, FALSE)), 2)</f>
        <v>0.59</v>
      </c>
      <c r="G42" s="73" t="str">
        <f t="shared" ca="1" si="0"/>
        <v>replace</v>
      </c>
    </row>
    <row r="43" spans="1:7">
      <c r="A43" t="s">
        <v>132</v>
      </c>
      <c r="B43" t="s">
        <v>217</v>
      </c>
      <c r="C43" s="19" t="s">
        <v>272</v>
      </c>
      <c r="D43" s="19">
        <v>2020</v>
      </c>
      <c r="E43">
        <f ca="1">ROUND(VLOOKUP($A43,    'VRE summary'!$B$2:$AD$23,    MATCH($D43, 'VRE summary'!$B$1:$AD$1, 0), FALSE), 0)</f>
        <v>50</v>
      </c>
      <c r="F43">
        <f>ROUND( VLOOKUP($B43,$L$5:$M$7, 2, FALSE) * (1+ VLOOKUP($A43,'vomcost mult'!$N$10:$R$32,5, FALSE)), 2)</f>
        <v>0.59</v>
      </c>
      <c r="G43" s="73" t="str">
        <f t="shared" ca="1" si="0"/>
        <v>replace</v>
      </c>
    </row>
    <row r="44" spans="1:7">
      <c r="A44" t="s">
        <v>133</v>
      </c>
      <c r="B44" t="s">
        <v>217</v>
      </c>
      <c r="C44" s="19" t="s">
        <v>272</v>
      </c>
      <c r="D44" s="19">
        <v>2020</v>
      </c>
      <c r="E44">
        <f ca="1">ROUND(VLOOKUP($A44,    'VRE summary'!$B$2:$AD$23,    MATCH($D44, 'VRE summary'!$B$1:$AD$1, 0), FALSE), 0)</f>
        <v>726</v>
      </c>
      <c r="F44">
        <f>ROUND( VLOOKUP($B44,$L$5:$M$7, 2, FALSE) * (1+ VLOOKUP($A44,'vomcost mult'!$N$10:$R$32,5, FALSE)), 2)</f>
        <v>0.57999999999999996</v>
      </c>
      <c r="G44" s="73" t="str">
        <f t="shared" ca="1" si="0"/>
        <v>replace</v>
      </c>
    </row>
    <row r="45" spans="1:7">
      <c r="A45" t="s">
        <v>134</v>
      </c>
      <c r="B45" t="s">
        <v>217</v>
      </c>
      <c r="C45" s="19" t="s">
        <v>272</v>
      </c>
      <c r="D45" s="19">
        <v>2020</v>
      </c>
      <c r="E45">
        <f ca="1">ROUND(VLOOKUP($A45,    'VRE summary'!$B$2:$AD$23,    MATCH($D45, 'VRE summary'!$B$1:$AD$1, 0), FALSE), 0)</f>
        <v>317</v>
      </c>
      <c r="F45">
        <f>ROUND( VLOOKUP($B45,$L$5:$M$7, 2, FALSE) * (1+ VLOOKUP($A45,'vomcost mult'!$N$10:$R$32,5, FALSE)), 2)</f>
        <v>0.57999999999999996</v>
      </c>
      <c r="G45" s="73" t="str">
        <f t="shared" ca="1" si="0"/>
        <v>replace</v>
      </c>
    </row>
    <row r="46" spans="1:7">
      <c r="A46" t="s">
        <v>135</v>
      </c>
      <c r="B46" t="s">
        <v>217</v>
      </c>
      <c r="C46" s="19" t="s">
        <v>272</v>
      </c>
      <c r="D46" s="19">
        <v>2020</v>
      </c>
      <c r="E46">
        <f ca="1">ROUND(VLOOKUP($A46,    'VRE summary'!$B$2:$AD$23,    MATCH($D46, 'VRE summary'!$B$1:$AD$1, 0), FALSE), 0)</f>
        <v>13224</v>
      </c>
      <c r="F46">
        <f>ROUND( VLOOKUP($B46,$L$5:$M$7, 2, FALSE) * (1+ VLOOKUP($A46,'vomcost mult'!$N$10:$R$32,5, FALSE)), 2)</f>
        <v>0.57999999999999996</v>
      </c>
      <c r="G46" s="73" t="str">
        <f t="shared" ca="1" si="0"/>
        <v>replace</v>
      </c>
    </row>
    <row r="47" spans="1:7">
      <c r="A47" t="s">
        <v>111</v>
      </c>
      <c r="B47" t="s">
        <v>217</v>
      </c>
      <c r="C47" s="19" t="s">
        <v>272</v>
      </c>
      <c r="D47" s="19">
        <v>2025</v>
      </c>
      <c r="E47">
        <f ca="1">ROUND(VLOOKUP($A47,    'VRE summary'!$B$2:$AD$23,    MATCH($D47, 'VRE summary'!$B$1:$AD$1, 0), FALSE), 0)</f>
        <v>8735</v>
      </c>
      <c r="F47">
        <f>ROUND( VLOOKUP($B47,$L$5:$M$7, 2, FALSE) * (1+ VLOOKUP($A47,'vomcost mult'!$N$10:$R$32,5, FALSE)), 2)</f>
        <v>0.56000000000000005</v>
      </c>
      <c r="G47" s="73" t="str">
        <f t="shared" ca="1" si="0"/>
        <v>replace</v>
      </c>
    </row>
    <row r="48" spans="1:7">
      <c r="A48" t="s">
        <v>114</v>
      </c>
      <c r="B48" t="s">
        <v>217</v>
      </c>
      <c r="C48" s="19" t="s">
        <v>272</v>
      </c>
      <c r="D48" s="19">
        <v>2025</v>
      </c>
      <c r="E48">
        <f ca="1">ROUND(VLOOKUP($A48,    'VRE summary'!$B$2:$AD$23,    MATCH($D48, 'VRE summary'!$B$1:$AD$1, 0), FALSE), 0)</f>
        <v>9551</v>
      </c>
      <c r="F48">
        <f>ROUND( VLOOKUP($B48,$L$5:$M$7, 2, FALSE) * (1+ VLOOKUP($A48,'vomcost mult'!$N$10:$R$32,5, FALSE)), 2)</f>
        <v>0.56000000000000005</v>
      </c>
      <c r="G48" s="73" t="str">
        <f t="shared" ca="1" si="0"/>
        <v>replace</v>
      </c>
    </row>
    <row r="49" spans="1:7">
      <c r="A49" t="s">
        <v>116</v>
      </c>
      <c r="B49" t="s">
        <v>217</v>
      </c>
      <c r="C49" s="19" t="s">
        <v>272</v>
      </c>
      <c r="D49" s="19">
        <v>2025</v>
      </c>
      <c r="E49">
        <f ca="1">ROUND(VLOOKUP($A49,    'VRE summary'!$B$2:$AD$23,    MATCH($D49, 'VRE summary'!$B$1:$AD$1, 0), FALSE), 0)</f>
        <v>8209</v>
      </c>
      <c r="F49">
        <f>ROUND( VLOOKUP($B49,$L$5:$M$7, 2, FALSE) * (1+ VLOOKUP($A49,'vomcost mult'!$N$10:$R$32,5, FALSE)), 2)</f>
        <v>0.73</v>
      </c>
      <c r="G49" s="73" t="str">
        <f t="shared" ca="1" si="0"/>
        <v>replace</v>
      </c>
    </row>
    <row r="50" spans="1:7">
      <c r="A50" t="s">
        <v>117</v>
      </c>
      <c r="B50" t="s">
        <v>217</v>
      </c>
      <c r="C50" s="19" t="s">
        <v>272</v>
      </c>
      <c r="D50" s="19">
        <v>2025</v>
      </c>
      <c r="E50">
        <f ca="1">ROUND(VLOOKUP($A50,    'VRE summary'!$B$2:$AD$23,    MATCH($D50, 'VRE summary'!$B$1:$AD$1, 0), FALSE), 0)</f>
        <v>102767</v>
      </c>
      <c r="F50">
        <f>ROUND( VLOOKUP($B50,$L$5:$M$7, 2, FALSE) * (1+ VLOOKUP($A50,'vomcost mult'!$N$10:$R$32,5, FALSE)), 2)</f>
        <v>0.55000000000000004</v>
      </c>
      <c r="G50" s="73" t="str">
        <f t="shared" ca="1" si="0"/>
        <v>replace</v>
      </c>
    </row>
    <row r="51" spans="1:7">
      <c r="A51" t="s">
        <v>118</v>
      </c>
      <c r="B51" t="s">
        <v>217</v>
      </c>
      <c r="C51" s="19" t="s">
        <v>272</v>
      </c>
      <c r="D51" s="19">
        <v>2025</v>
      </c>
      <c r="E51">
        <f ca="1">ROUND(VLOOKUP($A51,    'VRE summary'!$B$2:$AD$23,    MATCH($D51, 'VRE summary'!$B$1:$AD$1, 0), FALSE), 0)</f>
        <v>1194</v>
      </c>
      <c r="F51">
        <f>ROUND( VLOOKUP($B51,$L$5:$M$7, 2, FALSE) * (1+ VLOOKUP($A51,'vomcost mult'!$N$10:$R$32,5, FALSE)), 2)</f>
        <v>0.63</v>
      </c>
      <c r="G51" s="73" t="str">
        <f t="shared" ca="1" si="0"/>
        <v>replace</v>
      </c>
    </row>
    <row r="52" spans="1:7">
      <c r="A52" t="s">
        <v>119</v>
      </c>
      <c r="B52" t="s">
        <v>217</v>
      </c>
      <c r="C52" s="19" t="s">
        <v>272</v>
      </c>
      <c r="D52" s="19">
        <v>2025</v>
      </c>
      <c r="E52">
        <f ca="1">ROUND(VLOOKUP($A52,    'VRE summary'!$B$2:$AD$23,    MATCH($D52, 'VRE summary'!$B$1:$AD$1, 0), FALSE), 0)</f>
        <v>3142</v>
      </c>
      <c r="F52">
        <f>ROUND( VLOOKUP($B52,$L$5:$M$7, 2, FALSE) * (1+ VLOOKUP($A52,'vomcost mult'!$N$10:$R$32,5, FALSE)), 2)</f>
        <v>0.62</v>
      </c>
      <c r="G52" s="73" t="str">
        <f t="shared" ca="1" si="0"/>
        <v>replace</v>
      </c>
    </row>
    <row r="53" spans="1:7">
      <c r="A53" t="s">
        <v>120</v>
      </c>
      <c r="B53" t="s">
        <v>217</v>
      </c>
      <c r="C53" s="19" t="s">
        <v>272</v>
      </c>
      <c r="D53" s="19">
        <v>2025</v>
      </c>
      <c r="E53">
        <f ca="1">ROUND(VLOOKUP($A53,    'VRE summary'!$B$2:$AD$23,    MATCH($D53, 'VRE summary'!$B$1:$AD$1, 0), FALSE), 0)</f>
        <v>1408</v>
      </c>
      <c r="F53">
        <f>ROUND( VLOOKUP($B53,$L$5:$M$7, 2, FALSE) * (1+ VLOOKUP($A53,'vomcost mult'!$N$10:$R$32,5, FALSE)), 2)</f>
        <v>0.4</v>
      </c>
      <c r="G53" s="73" t="str">
        <f t="shared" ca="1" si="0"/>
        <v>replace</v>
      </c>
    </row>
    <row r="54" spans="1:7">
      <c r="A54" t="s">
        <v>121</v>
      </c>
      <c r="B54" t="s">
        <v>217</v>
      </c>
      <c r="C54" s="19" t="s">
        <v>272</v>
      </c>
      <c r="D54" s="19">
        <v>2025</v>
      </c>
      <c r="E54">
        <f ca="1">ROUND(VLOOKUP($A54,    'VRE summary'!$B$2:$AD$23,    MATCH($D54, 'VRE summary'!$B$1:$AD$1, 0), FALSE), 0)</f>
        <v>38898</v>
      </c>
      <c r="F54">
        <f>ROUND( VLOOKUP($B54,$L$5:$M$7, 2, FALSE) * (1+ VLOOKUP($A54,'vomcost mult'!$N$10:$R$32,5, FALSE)), 2)</f>
        <v>0.46</v>
      </c>
      <c r="G54" s="73" t="str">
        <f t="shared" ca="1" si="0"/>
        <v>replace</v>
      </c>
    </row>
    <row r="55" spans="1:7">
      <c r="A55" t="s">
        <v>122</v>
      </c>
      <c r="B55" t="s">
        <v>217</v>
      </c>
      <c r="C55" s="19" t="s">
        <v>272</v>
      </c>
      <c r="D55" s="19">
        <v>2025</v>
      </c>
      <c r="E55">
        <f ca="1">ROUND(VLOOKUP($A55,    'VRE summary'!$B$2:$AD$23,    MATCH($D55, 'VRE summary'!$B$1:$AD$1, 0), FALSE), 0)</f>
        <v>1292</v>
      </c>
      <c r="F55">
        <f>ROUND( VLOOKUP($B55,$L$5:$M$7, 2, FALSE) * (1+ VLOOKUP($A55,'vomcost mult'!$N$10:$R$32,5, FALSE)), 2)</f>
        <v>0.55000000000000004</v>
      </c>
      <c r="G55" s="73" t="str">
        <f t="shared" ca="1" si="0"/>
        <v>replace</v>
      </c>
    </row>
    <row r="56" spans="1:7">
      <c r="A56" t="s">
        <v>123</v>
      </c>
      <c r="B56" t="s">
        <v>217</v>
      </c>
      <c r="C56" s="19" t="s">
        <v>272</v>
      </c>
      <c r="D56" s="19">
        <v>2025</v>
      </c>
      <c r="E56">
        <f ca="1">ROUND(VLOOKUP($A56,    'VRE summary'!$B$2:$AD$23,    MATCH($D56, 'VRE summary'!$B$1:$AD$1, 0), FALSE), 0)</f>
        <v>26548</v>
      </c>
      <c r="F56">
        <f>ROUND( VLOOKUP($B56,$L$5:$M$7, 2, FALSE) * (1+ VLOOKUP($A56,'vomcost mult'!$N$10:$R$32,5, FALSE)), 2)</f>
        <v>0.53</v>
      </c>
      <c r="G56" s="73" t="str">
        <f t="shared" ca="1" si="0"/>
        <v>replace</v>
      </c>
    </row>
    <row r="57" spans="1:7">
      <c r="A57" t="s">
        <v>124</v>
      </c>
      <c r="B57" t="s">
        <v>217</v>
      </c>
      <c r="C57" s="19" t="s">
        <v>272</v>
      </c>
      <c r="D57" s="19">
        <v>2025</v>
      </c>
      <c r="E57">
        <f ca="1">ROUND(VLOOKUP($A57,    'VRE summary'!$B$2:$AD$23,    MATCH($D57, 'VRE summary'!$B$1:$AD$1, 0), FALSE), 0)</f>
        <v>2651</v>
      </c>
      <c r="F57">
        <f>ROUND( VLOOKUP($B57,$L$5:$M$7, 2, FALSE) * (1+ VLOOKUP($A57,'vomcost mult'!$N$10:$R$32,5, FALSE)), 2)</f>
        <v>0.38</v>
      </c>
      <c r="G57" s="73" t="str">
        <f t="shared" ca="1" si="0"/>
        <v>replace</v>
      </c>
    </row>
    <row r="58" spans="1:7">
      <c r="A58" t="s">
        <v>125</v>
      </c>
      <c r="B58" t="s">
        <v>217</v>
      </c>
      <c r="C58" s="19" t="s">
        <v>272</v>
      </c>
      <c r="D58" s="19">
        <v>2025</v>
      </c>
      <c r="E58">
        <f ca="1">ROUND(VLOOKUP($A58,    'VRE summary'!$B$2:$AD$23,    MATCH($D58, 'VRE summary'!$B$1:$AD$1, 0), FALSE), 0)</f>
        <v>722</v>
      </c>
      <c r="F58">
        <f>ROUND( VLOOKUP($B58,$L$5:$M$7, 2, FALSE) * (1+ VLOOKUP($A58,'vomcost mult'!$N$10:$R$32,5, FALSE)), 2)</f>
        <v>0.35</v>
      </c>
      <c r="G58" s="73" t="str">
        <f t="shared" ca="1" si="0"/>
        <v>replace</v>
      </c>
    </row>
    <row r="59" spans="1:7">
      <c r="A59" t="s">
        <v>126</v>
      </c>
      <c r="B59" t="s">
        <v>217</v>
      </c>
      <c r="C59" s="19" t="s">
        <v>272</v>
      </c>
      <c r="D59" s="19">
        <v>2025</v>
      </c>
      <c r="E59">
        <f ca="1">ROUND(VLOOKUP($A59,    'VRE summary'!$B$2:$AD$23,    MATCH($D59, 'VRE summary'!$B$1:$AD$1, 0), FALSE), 0)</f>
        <v>25132</v>
      </c>
      <c r="F59">
        <f>ROUND( VLOOKUP($B59,$L$5:$M$7, 2, FALSE) * (1+ VLOOKUP($A59,'vomcost mult'!$N$10:$R$32,5, FALSE)), 2)</f>
        <v>0.59</v>
      </c>
      <c r="G59" s="73" t="str">
        <f t="shared" ca="1" si="0"/>
        <v>replace</v>
      </c>
    </row>
    <row r="60" spans="1:7">
      <c r="A60" t="s">
        <v>127</v>
      </c>
      <c r="B60" t="s">
        <v>217</v>
      </c>
      <c r="C60" s="19" t="s">
        <v>272</v>
      </c>
      <c r="D60" s="19">
        <v>2025</v>
      </c>
      <c r="E60">
        <f ca="1">ROUND(VLOOKUP($A60,    'VRE summary'!$B$2:$AD$23,    MATCH($D60, 'VRE summary'!$B$1:$AD$1, 0), FALSE), 0)</f>
        <v>183</v>
      </c>
      <c r="F60">
        <f>ROUND( VLOOKUP($B60,$L$5:$M$7, 2, FALSE) * (1+ VLOOKUP($A60,'vomcost mult'!$N$10:$R$32,5, FALSE)), 2)</f>
        <v>0.66</v>
      </c>
      <c r="G60" s="73" t="str">
        <f t="shared" ca="1" si="0"/>
        <v>replace</v>
      </c>
    </row>
    <row r="61" spans="1:7">
      <c r="A61" t="s">
        <v>128</v>
      </c>
      <c r="B61" t="s">
        <v>217</v>
      </c>
      <c r="C61" s="19" t="s">
        <v>272</v>
      </c>
      <c r="D61" s="19">
        <v>2025</v>
      </c>
      <c r="E61">
        <f ca="1">ROUND(VLOOKUP($A61,    'VRE summary'!$B$2:$AD$23,    MATCH($D61, 'VRE summary'!$B$1:$AD$1, 0), FALSE), 0)</f>
        <v>48</v>
      </c>
      <c r="F61">
        <f>ROUND( VLOOKUP($B61,$L$5:$M$7, 2, FALSE) * (1+ VLOOKUP($A61,'vomcost mult'!$N$10:$R$32,5, FALSE)), 2)</f>
        <v>0.66</v>
      </c>
      <c r="G61" s="73" t="str">
        <f t="shared" ca="1" si="0"/>
        <v>replace</v>
      </c>
    </row>
    <row r="62" spans="1:7">
      <c r="A62" t="s">
        <v>129</v>
      </c>
      <c r="B62" t="s">
        <v>217</v>
      </c>
      <c r="C62" s="19" t="s">
        <v>272</v>
      </c>
      <c r="D62" s="19">
        <v>2025</v>
      </c>
      <c r="E62">
        <f ca="1">ROUND(VLOOKUP($A62,    'VRE summary'!$B$2:$AD$23,    MATCH($D62, 'VRE summary'!$B$1:$AD$1, 0), FALSE), 0)</f>
        <v>550</v>
      </c>
      <c r="F62">
        <f>ROUND( VLOOKUP($B62,$L$5:$M$7, 2, FALSE) * (1+ VLOOKUP($A62,'vomcost mult'!$N$10:$R$32,5, FALSE)), 2)</f>
        <v>0.65</v>
      </c>
      <c r="G62" s="73" t="str">
        <f t="shared" ca="1" si="0"/>
        <v>replace</v>
      </c>
    </row>
    <row r="63" spans="1:7">
      <c r="A63" t="s">
        <v>130</v>
      </c>
      <c r="B63" t="s">
        <v>217</v>
      </c>
      <c r="C63" s="19" t="s">
        <v>272</v>
      </c>
      <c r="D63" s="19">
        <v>2025</v>
      </c>
      <c r="E63">
        <f ca="1">ROUND(VLOOKUP($A63,    'VRE summary'!$B$2:$AD$23,    MATCH($D63, 'VRE summary'!$B$1:$AD$1, 0), FALSE), 0)</f>
        <v>22158</v>
      </c>
      <c r="F63">
        <f>ROUND( VLOOKUP($B63,$L$5:$M$7, 2, FALSE) * (1+ VLOOKUP($A63,'vomcost mult'!$N$10:$R$32,5, FALSE)), 2)</f>
        <v>0.35</v>
      </c>
      <c r="G63" s="73" t="str">
        <f t="shared" ca="1" si="0"/>
        <v>replace</v>
      </c>
    </row>
    <row r="64" spans="1:7">
      <c r="A64" t="s">
        <v>131</v>
      </c>
      <c r="B64" t="s">
        <v>217</v>
      </c>
      <c r="C64" s="19" t="s">
        <v>272</v>
      </c>
      <c r="D64" s="19">
        <v>2025</v>
      </c>
      <c r="E64">
        <f ca="1">ROUND(VLOOKUP($A64,    'VRE summary'!$B$2:$AD$23,    MATCH($D64, 'VRE summary'!$B$1:$AD$1, 0), FALSE), 0)</f>
        <v>65</v>
      </c>
      <c r="F64">
        <f>ROUND( VLOOKUP($B64,$L$5:$M$7, 2, FALSE) * (1+ VLOOKUP($A64,'vomcost mult'!$N$10:$R$32,5, FALSE)), 2)</f>
        <v>0.59</v>
      </c>
      <c r="G64" s="73" t="str">
        <f t="shared" ca="1" si="0"/>
        <v>replace</v>
      </c>
    </row>
    <row r="65" spans="1:7">
      <c r="A65" t="s">
        <v>132</v>
      </c>
      <c r="B65" t="s">
        <v>217</v>
      </c>
      <c r="C65" s="19" t="s">
        <v>272</v>
      </c>
      <c r="D65" s="19">
        <v>2025</v>
      </c>
      <c r="E65">
        <f ca="1">ROUND(VLOOKUP($A65,    'VRE summary'!$B$2:$AD$23,    MATCH($D65, 'VRE summary'!$B$1:$AD$1, 0), FALSE), 0)</f>
        <v>233</v>
      </c>
      <c r="F65">
        <f>ROUND( VLOOKUP($B65,$L$5:$M$7, 2, FALSE) * (1+ VLOOKUP($A65,'vomcost mult'!$N$10:$R$32,5, FALSE)), 2)</f>
        <v>0.59</v>
      </c>
      <c r="G65" s="73" t="str">
        <f t="shared" ca="1" si="0"/>
        <v>replace</v>
      </c>
    </row>
    <row r="66" spans="1:7">
      <c r="A66" t="s">
        <v>133</v>
      </c>
      <c r="B66" t="s">
        <v>217</v>
      </c>
      <c r="C66" s="19" t="s">
        <v>272</v>
      </c>
      <c r="D66" s="19">
        <v>2025</v>
      </c>
      <c r="E66">
        <f ca="1">ROUND(VLOOKUP($A66,    'VRE summary'!$B$2:$AD$23,    MATCH($D66, 'VRE summary'!$B$1:$AD$1, 0), FALSE), 0)</f>
        <v>3387</v>
      </c>
      <c r="F66">
        <f>ROUND( VLOOKUP($B66,$L$5:$M$7, 2, FALSE) * (1+ VLOOKUP($A66,'vomcost mult'!$N$10:$R$32,5, FALSE)), 2)</f>
        <v>0.57999999999999996</v>
      </c>
      <c r="G66" s="73" t="str">
        <f t="shared" ca="1" si="0"/>
        <v>replace</v>
      </c>
    </row>
    <row r="67" spans="1:7">
      <c r="A67" t="s">
        <v>134</v>
      </c>
      <c r="B67" t="s">
        <v>217</v>
      </c>
      <c r="C67" s="19" t="s">
        <v>272</v>
      </c>
      <c r="D67" s="19">
        <v>2025</v>
      </c>
      <c r="E67">
        <f ca="1">ROUND(VLOOKUP($A67,    'VRE summary'!$B$2:$AD$23,    MATCH($D67, 'VRE summary'!$B$1:$AD$1, 0), FALSE), 0)</f>
        <v>1477</v>
      </c>
      <c r="F67">
        <f>ROUND( VLOOKUP($B67,$L$5:$M$7, 2, FALSE) * (1+ VLOOKUP($A67,'vomcost mult'!$N$10:$R$32,5, FALSE)), 2)</f>
        <v>0.57999999999999996</v>
      </c>
      <c r="G67" s="73" t="str">
        <f t="shared" ref="G67:G131" ca="1" si="1">IF(E67=0, "remove", "replace")</f>
        <v>replace</v>
      </c>
    </row>
    <row r="68" spans="1:7">
      <c r="A68" t="s">
        <v>135</v>
      </c>
      <c r="B68" t="s">
        <v>217</v>
      </c>
      <c r="C68" s="19" t="s">
        <v>272</v>
      </c>
      <c r="D68" s="19">
        <v>2025</v>
      </c>
      <c r="E68">
        <f ca="1">ROUND(VLOOKUP($A68,    'VRE summary'!$B$2:$AD$23,    MATCH($D68, 'VRE summary'!$B$1:$AD$1, 0), FALSE), 0)</f>
        <v>21186</v>
      </c>
      <c r="F68">
        <f>ROUND( VLOOKUP($B68,$L$5:$M$7, 2, FALSE) * (1+ VLOOKUP($A68,'vomcost mult'!$N$10:$R$32,5, FALSE)), 2)</f>
        <v>0.57999999999999996</v>
      </c>
      <c r="G68" s="73" t="str">
        <f t="shared" ca="1" si="1"/>
        <v>replace</v>
      </c>
    </row>
    <row r="69" spans="1:7">
      <c r="A69" t="s">
        <v>111</v>
      </c>
      <c r="B69" t="s">
        <v>217</v>
      </c>
      <c r="C69" s="19" t="s">
        <v>272</v>
      </c>
      <c r="D69" s="19">
        <v>2030</v>
      </c>
      <c r="E69">
        <f ca="1">ROUND(VLOOKUP($A69,    'VRE summary'!$B$2:$AD$23,    MATCH($D69, 'VRE summary'!$B$1:$AD$1, 0), FALSE), 0)</f>
        <v>14218</v>
      </c>
      <c r="F69">
        <f>ROUND( VLOOKUP($B69,$L$5:$M$7, 2, FALSE) * (1+ VLOOKUP($A69,'vomcost mult'!$N$10:$R$32,5, FALSE)), 2)</f>
        <v>0.56000000000000005</v>
      </c>
      <c r="G69" s="73" t="str">
        <f t="shared" ca="1" si="1"/>
        <v>replace</v>
      </c>
    </row>
    <row r="70" spans="1:7">
      <c r="A70" t="s">
        <v>114</v>
      </c>
      <c r="B70" t="s">
        <v>217</v>
      </c>
      <c r="C70" s="19" t="s">
        <v>272</v>
      </c>
      <c r="D70" s="19">
        <v>2030</v>
      </c>
      <c r="E70">
        <f ca="1">ROUND(VLOOKUP($A70,    'VRE summary'!$B$2:$AD$23,    MATCH($D70, 'VRE summary'!$B$1:$AD$1, 0), FALSE), 0)</f>
        <v>13432</v>
      </c>
      <c r="F70">
        <f>ROUND( VLOOKUP($B70,$L$5:$M$7, 2, FALSE) * (1+ VLOOKUP($A70,'vomcost mult'!$N$10:$R$32,5, FALSE)), 2)</f>
        <v>0.56000000000000005</v>
      </c>
      <c r="G70" s="73" t="str">
        <f t="shared" ca="1" si="1"/>
        <v>replace</v>
      </c>
    </row>
    <row r="71" spans="1:7">
      <c r="A71" t="s">
        <v>116</v>
      </c>
      <c r="B71" t="s">
        <v>217</v>
      </c>
      <c r="C71" s="19" t="s">
        <v>272</v>
      </c>
      <c r="D71" s="19">
        <v>2030</v>
      </c>
      <c r="E71">
        <f ca="1">ROUND(VLOOKUP($A71,    'VRE summary'!$B$2:$AD$23,    MATCH($D71, 'VRE summary'!$B$1:$AD$1, 0), FALSE), 0)</f>
        <v>13189</v>
      </c>
      <c r="F71">
        <f>ROUND( VLOOKUP($B71,$L$5:$M$7, 2, FALSE) * (1+ VLOOKUP($A71,'vomcost mult'!$N$10:$R$32,5, FALSE)), 2)</f>
        <v>0.73</v>
      </c>
      <c r="G71" s="73" t="str">
        <f t="shared" ca="1" si="1"/>
        <v>replace</v>
      </c>
    </row>
    <row r="72" spans="1:7">
      <c r="A72" t="s">
        <v>117</v>
      </c>
      <c r="B72" t="s">
        <v>217</v>
      </c>
      <c r="C72" s="19" t="s">
        <v>272</v>
      </c>
      <c r="D72" s="19">
        <v>2030</v>
      </c>
      <c r="E72">
        <f ca="1">ROUND(VLOOKUP($A72,    'VRE summary'!$B$2:$AD$23,    MATCH($D72, 'VRE summary'!$B$1:$AD$1, 0), FALSE), 0)</f>
        <v>151691</v>
      </c>
      <c r="F72">
        <f>ROUND( VLOOKUP($B72,$L$5:$M$7, 2, FALSE) * (1+ VLOOKUP($A72,'vomcost mult'!$N$10:$R$32,5, FALSE)), 2)</f>
        <v>0.55000000000000004</v>
      </c>
      <c r="G72" s="73" t="str">
        <f t="shared" ca="1" si="1"/>
        <v>replace</v>
      </c>
    </row>
    <row r="73" spans="1:7">
      <c r="A73" t="s">
        <v>118</v>
      </c>
      <c r="B73" t="s">
        <v>217</v>
      </c>
      <c r="C73" s="19" t="s">
        <v>272</v>
      </c>
      <c r="D73" s="19">
        <v>2030</v>
      </c>
      <c r="E73">
        <f ca="1">ROUND(VLOOKUP($A73,    'VRE summary'!$B$2:$AD$23,    MATCH($D73, 'VRE summary'!$B$1:$AD$1, 0), FALSE), 0)</f>
        <v>2075</v>
      </c>
      <c r="F73">
        <f>ROUND( VLOOKUP($B73,$L$5:$M$7, 2, FALSE) * (1+ VLOOKUP($A73,'vomcost mult'!$N$10:$R$32,5, FALSE)), 2)</f>
        <v>0.63</v>
      </c>
      <c r="G73" s="73" t="str">
        <f t="shared" ca="1" si="1"/>
        <v>replace</v>
      </c>
    </row>
    <row r="74" spans="1:7">
      <c r="A74" t="s">
        <v>119</v>
      </c>
      <c r="B74" t="s">
        <v>217</v>
      </c>
      <c r="C74" s="19" t="s">
        <v>272</v>
      </c>
      <c r="D74" s="19">
        <v>2030</v>
      </c>
      <c r="E74">
        <f ca="1">ROUND(VLOOKUP($A74,    'VRE summary'!$B$2:$AD$23,    MATCH($D74, 'VRE summary'!$B$1:$AD$1, 0), FALSE), 0)</f>
        <v>5462</v>
      </c>
      <c r="F74">
        <f>ROUND( VLOOKUP($B74,$L$5:$M$7, 2, FALSE) * (1+ VLOOKUP($A74,'vomcost mult'!$N$10:$R$32,5, FALSE)), 2)</f>
        <v>0.62</v>
      </c>
      <c r="G74" s="73" t="str">
        <f t="shared" ca="1" si="1"/>
        <v>replace</v>
      </c>
    </row>
    <row r="75" spans="1:7">
      <c r="A75" t="s">
        <v>120</v>
      </c>
      <c r="B75" t="s">
        <v>217</v>
      </c>
      <c r="C75" s="19" t="s">
        <v>272</v>
      </c>
      <c r="D75" s="19">
        <v>2030</v>
      </c>
      <c r="E75">
        <f ca="1">ROUND(VLOOKUP($A75,    'VRE summary'!$B$2:$AD$23,    MATCH($D75, 'VRE summary'!$B$1:$AD$1, 0), FALSE), 0)</f>
        <v>2226</v>
      </c>
      <c r="F75">
        <f>ROUND( VLOOKUP($B75,$L$5:$M$7, 2, FALSE) * (1+ VLOOKUP($A75,'vomcost mult'!$N$10:$R$32,5, FALSE)), 2)</f>
        <v>0.4</v>
      </c>
      <c r="G75" s="73" t="str">
        <f t="shared" ca="1" si="1"/>
        <v>replace</v>
      </c>
    </row>
    <row r="76" spans="1:7">
      <c r="A76" t="s">
        <v>121</v>
      </c>
      <c r="B76" t="s">
        <v>217</v>
      </c>
      <c r="C76" s="19" t="s">
        <v>272</v>
      </c>
      <c r="D76" s="19">
        <v>2030</v>
      </c>
      <c r="E76">
        <f ca="1">ROUND(VLOOKUP($A76,    'VRE summary'!$B$2:$AD$23,    MATCH($D76, 'VRE summary'!$B$1:$AD$1, 0), FALSE), 0)</f>
        <v>63683</v>
      </c>
      <c r="F76">
        <f>ROUND( VLOOKUP($B76,$L$5:$M$7, 2, FALSE) * (1+ VLOOKUP($A76,'vomcost mult'!$N$10:$R$32,5, FALSE)), 2)</f>
        <v>0.46</v>
      </c>
      <c r="G76" s="73" t="str">
        <f t="shared" ca="1" si="1"/>
        <v>replace</v>
      </c>
    </row>
    <row r="77" spans="1:7">
      <c r="A77" t="s">
        <v>122</v>
      </c>
      <c r="B77" t="s">
        <v>217</v>
      </c>
      <c r="C77" s="19" t="s">
        <v>272</v>
      </c>
      <c r="D77" s="19">
        <v>2030</v>
      </c>
      <c r="E77">
        <f ca="1">ROUND(VLOOKUP($A77,    'VRE summary'!$B$2:$AD$23,    MATCH($D77, 'VRE summary'!$B$1:$AD$1, 0), FALSE), 0)</f>
        <v>2109</v>
      </c>
      <c r="F77">
        <f>ROUND( VLOOKUP($B77,$L$5:$M$7, 2, FALSE) * (1+ VLOOKUP($A77,'vomcost mult'!$N$10:$R$32,5, FALSE)), 2)</f>
        <v>0.55000000000000004</v>
      </c>
      <c r="G77" s="73" t="str">
        <f t="shared" ca="1" si="1"/>
        <v>replace</v>
      </c>
    </row>
    <row r="78" spans="1:7">
      <c r="A78" t="s">
        <v>123</v>
      </c>
      <c r="B78" t="s">
        <v>217</v>
      </c>
      <c r="C78" s="19" t="s">
        <v>272</v>
      </c>
      <c r="D78" s="19">
        <v>2030</v>
      </c>
      <c r="E78">
        <f ca="1">ROUND(VLOOKUP($A78,    'VRE summary'!$B$2:$AD$23,    MATCH($D78, 'VRE summary'!$B$1:$AD$1, 0), FALSE), 0)</f>
        <v>41909</v>
      </c>
      <c r="F78">
        <f>ROUND( VLOOKUP($B78,$L$5:$M$7, 2, FALSE) * (1+ VLOOKUP($A78,'vomcost mult'!$N$10:$R$32,5, FALSE)), 2)</f>
        <v>0.53</v>
      </c>
      <c r="G78" s="73" t="str">
        <f t="shared" ca="1" si="1"/>
        <v>replace</v>
      </c>
    </row>
    <row r="79" spans="1:7">
      <c r="A79" t="s">
        <v>124</v>
      </c>
      <c r="B79" t="s">
        <v>217</v>
      </c>
      <c r="C79" s="19" t="s">
        <v>272</v>
      </c>
      <c r="D79" s="19">
        <v>2030</v>
      </c>
      <c r="E79">
        <f ca="1">ROUND(VLOOKUP($A79,    'VRE summary'!$B$2:$AD$23,    MATCH($D79, 'VRE summary'!$B$1:$AD$1, 0), FALSE), 0)</f>
        <v>4242</v>
      </c>
      <c r="F79">
        <f>ROUND( VLOOKUP($B79,$L$5:$M$7, 2, FALSE) * (1+ VLOOKUP($A79,'vomcost mult'!$N$10:$R$32,5, FALSE)), 2)</f>
        <v>0.38</v>
      </c>
      <c r="G79" s="73" t="str">
        <f t="shared" ca="1" si="1"/>
        <v>replace</v>
      </c>
    </row>
    <row r="80" spans="1:7">
      <c r="A80" t="s">
        <v>125</v>
      </c>
      <c r="B80" t="s">
        <v>217</v>
      </c>
      <c r="C80" s="19" t="s">
        <v>272</v>
      </c>
      <c r="D80" s="19">
        <v>2030</v>
      </c>
      <c r="E80">
        <f ca="1">ROUND(VLOOKUP($A80,    'VRE summary'!$B$2:$AD$23,    MATCH($D80, 'VRE summary'!$B$1:$AD$1, 0), FALSE), 0)</f>
        <v>1189</v>
      </c>
      <c r="F80">
        <f>ROUND( VLOOKUP($B80,$L$5:$M$7, 2, FALSE) * (1+ VLOOKUP($A80,'vomcost mult'!$N$10:$R$32,5, FALSE)), 2)</f>
        <v>0.35</v>
      </c>
      <c r="G80" s="73" t="str">
        <f t="shared" ca="1" si="1"/>
        <v>replace</v>
      </c>
    </row>
    <row r="81" spans="1:7">
      <c r="A81" t="s">
        <v>126</v>
      </c>
      <c r="B81" t="s">
        <v>217</v>
      </c>
      <c r="C81" s="19" t="s">
        <v>272</v>
      </c>
      <c r="D81" s="19">
        <v>2030</v>
      </c>
      <c r="E81">
        <f ca="1">ROUND(VLOOKUP($A81,    'VRE summary'!$B$2:$AD$23,    MATCH($D81, 'VRE summary'!$B$1:$AD$1, 0), FALSE), 0)</f>
        <v>34180</v>
      </c>
      <c r="F81">
        <f>ROUND( VLOOKUP($B81,$L$5:$M$7, 2, FALSE) * (1+ VLOOKUP($A81,'vomcost mult'!$N$10:$R$32,5, FALSE)), 2)</f>
        <v>0.59</v>
      </c>
      <c r="G81" s="73" t="str">
        <f t="shared" ca="1" si="1"/>
        <v>replace</v>
      </c>
    </row>
    <row r="82" spans="1:7">
      <c r="A82" t="s">
        <v>127</v>
      </c>
      <c r="B82" t="s">
        <v>217</v>
      </c>
      <c r="C82" s="19" t="s">
        <v>272</v>
      </c>
      <c r="D82" s="19">
        <v>2030</v>
      </c>
      <c r="E82">
        <f ca="1">ROUND(VLOOKUP($A82,    'VRE summary'!$B$2:$AD$23,    MATCH($D82, 'VRE summary'!$B$1:$AD$1, 0), FALSE), 0)</f>
        <v>321</v>
      </c>
      <c r="F82">
        <f>ROUND( VLOOKUP($B82,$L$5:$M$7, 2, FALSE) * (1+ VLOOKUP($A82,'vomcost mult'!$N$10:$R$32,5, FALSE)), 2)</f>
        <v>0.66</v>
      </c>
      <c r="G82" s="73" t="str">
        <f t="shared" ca="1" si="1"/>
        <v>replace</v>
      </c>
    </row>
    <row r="83" spans="1:7">
      <c r="A83" t="s">
        <v>128</v>
      </c>
      <c r="B83" t="s">
        <v>217</v>
      </c>
      <c r="C83" s="19" t="s">
        <v>272</v>
      </c>
      <c r="D83" s="19">
        <v>2030</v>
      </c>
      <c r="E83">
        <f ca="1">ROUND(VLOOKUP($A83,    'VRE summary'!$B$2:$AD$23,    MATCH($D83, 'VRE summary'!$B$1:$AD$1, 0), FALSE), 0)</f>
        <v>84</v>
      </c>
      <c r="F83">
        <f>ROUND( VLOOKUP($B83,$L$5:$M$7, 2, FALSE) * (1+ VLOOKUP($A83,'vomcost mult'!$N$10:$R$32,5, FALSE)), 2)</f>
        <v>0.66</v>
      </c>
      <c r="G83" s="73" t="str">
        <f t="shared" ca="1" si="1"/>
        <v>replace</v>
      </c>
    </row>
    <row r="84" spans="1:7">
      <c r="A84" t="s">
        <v>129</v>
      </c>
      <c r="B84" t="s">
        <v>217</v>
      </c>
      <c r="C84" s="19" t="s">
        <v>272</v>
      </c>
      <c r="D84" s="19">
        <v>2030</v>
      </c>
      <c r="E84">
        <f ca="1">ROUND(VLOOKUP($A84,    'VRE summary'!$B$2:$AD$23,    MATCH($D84, 'VRE summary'!$B$1:$AD$1, 0), FALSE), 0)</f>
        <v>963</v>
      </c>
      <c r="F84">
        <f>ROUND( VLOOKUP($B84,$L$5:$M$7, 2, FALSE) * (1+ VLOOKUP($A84,'vomcost mult'!$N$10:$R$32,5, FALSE)), 2)</f>
        <v>0.65</v>
      </c>
      <c r="G84" s="73" t="str">
        <f t="shared" ca="1" si="1"/>
        <v>replace</v>
      </c>
    </row>
    <row r="85" spans="1:7">
      <c r="A85" t="s">
        <v>130</v>
      </c>
      <c r="B85" t="s">
        <v>217</v>
      </c>
      <c r="C85" s="19" t="s">
        <v>272</v>
      </c>
      <c r="D85" s="19">
        <v>2030</v>
      </c>
      <c r="E85">
        <f ca="1">ROUND(VLOOKUP($A85,    'VRE summary'!$B$2:$AD$23,    MATCH($D85, 'VRE summary'!$B$1:$AD$1, 0), FALSE), 0)</f>
        <v>37722</v>
      </c>
      <c r="F85">
        <f>ROUND( VLOOKUP($B85,$L$5:$M$7, 2, FALSE) * (1+ VLOOKUP($A85,'vomcost mult'!$N$10:$R$32,5, FALSE)), 2)</f>
        <v>0.35</v>
      </c>
      <c r="G85" s="73" t="str">
        <f t="shared" ca="1" si="1"/>
        <v>replace</v>
      </c>
    </row>
    <row r="86" spans="1:7">
      <c r="A86" t="s">
        <v>131</v>
      </c>
      <c r="B86" t="s">
        <v>217</v>
      </c>
      <c r="C86" s="19" t="s">
        <v>272</v>
      </c>
      <c r="D86" s="19">
        <v>2030</v>
      </c>
      <c r="E86">
        <f ca="1">ROUND(VLOOKUP($A86,    'VRE summary'!$B$2:$AD$23,    MATCH($D86, 'VRE summary'!$B$1:$AD$1, 0), FALSE), 0)</f>
        <v>107</v>
      </c>
      <c r="F86">
        <f>ROUND( VLOOKUP($B86,$L$5:$M$7, 2, FALSE) * (1+ VLOOKUP($A86,'vomcost mult'!$N$10:$R$32,5, FALSE)), 2)</f>
        <v>0.59</v>
      </c>
      <c r="G86" s="73" t="str">
        <f t="shared" ca="1" si="1"/>
        <v>replace</v>
      </c>
    </row>
    <row r="87" spans="1:7">
      <c r="A87" t="s">
        <v>132</v>
      </c>
      <c r="B87" t="s">
        <v>217</v>
      </c>
      <c r="C87" s="19" t="s">
        <v>272</v>
      </c>
      <c r="D87" s="19">
        <v>2030</v>
      </c>
      <c r="E87">
        <f ca="1">ROUND(VLOOKUP($A87,    'VRE summary'!$B$2:$AD$23,    MATCH($D87, 'VRE summary'!$B$1:$AD$1, 0), FALSE), 0)</f>
        <v>385</v>
      </c>
      <c r="F87">
        <f>ROUND( VLOOKUP($B87,$L$5:$M$7, 2, FALSE) * (1+ VLOOKUP($A87,'vomcost mult'!$N$10:$R$32,5, FALSE)), 2)</f>
        <v>0.59</v>
      </c>
      <c r="G87" s="73" t="str">
        <f t="shared" ca="1" si="1"/>
        <v>replace</v>
      </c>
    </row>
    <row r="88" spans="1:7">
      <c r="A88" t="s">
        <v>133</v>
      </c>
      <c r="B88" t="s">
        <v>217</v>
      </c>
      <c r="C88" s="19" t="s">
        <v>272</v>
      </c>
      <c r="D88" s="19">
        <v>2030</v>
      </c>
      <c r="E88">
        <f ca="1">ROUND(VLOOKUP($A88,    'VRE summary'!$B$2:$AD$23,    MATCH($D88, 'VRE summary'!$B$1:$AD$1, 0), FALSE), 0)</f>
        <v>5603</v>
      </c>
      <c r="F88">
        <f>ROUND( VLOOKUP($B88,$L$5:$M$7, 2, FALSE) * (1+ VLOOKUP($A88,'vomcost mult'!$N$10:$R$32,5, FALSE)), 2)</f>
        <v>0.57999999999999996</v>
      </c>
      <c r="G88" s="73" t="str">
        <f t="shared" ca="1" si="1"/>
        <v>replace</v>
      </c>
    </row>
    <row r="89" spans="1:7">
      <c r="A89" t="s">
        <v>134</v>
      </c>
      <c r="B89" t="s">
        <v>217</v>
      </c>
      <c r="C89" s="19" t="s">
        <v>272</v>
      </c>
      <c r="D89" s="19">
        <v>2030</v>
      </c>
      <c r="E89">
        <f ca="1">ROUND(VLOOKUP($A89,    'VRE summary'!$B$2:$AD$23,    MATCH($D89, 'VRE summary'!$B$1:$AD$1, 0), FALSE), 0)</f>
        <v>2444</v>
      </c>
      <c r="F89">
        <f>ROUND( VLOOKUP($B89,$L$5:$M$7, 2, FALSE) * (1+ VLOOKUP($A89,'vomcost mult'!$N$10:$R$32,5, FALSE)), 2)</f>
        <v>0.57999999999999996</v>
      </c>
      <c r="G89" s="73" t="str">
        <f t="shared" ca="1" si="1"/>
        <v>replace</v>
      </c>
    </row>
    <row r="90" spans="1:7">
      <c r="A90" t="s">
        <v>135</v>
      </c>
      <c r="B90" t="s">
        <v>217</v>
      </c>
      <c r="C90" s="19" t="s">
        <v>272</v>
      </c>
      <c r="D90" s="19">
        <v>2030</v>
      </c>
      <c r="E90">
        <f ca="1">ROUND(VLOOKUP($A90,    'VRE summary'!$B$2:$AD$23,    MATCH($D90, 'VRE summary'!$B$1:$AD$1, 0), FALSE), 0)</f>
        <v>27943</v>
      </c>
      <c r="F90">
        <f>ROUND( VLOOKUP($B90,$L$5:$M$7, 2, FALSE) * (1+ VLOOKUP($A90,'vomcost mult'!$N$10:$R$32,5, FALSE)), 2)</f>
        <v>0.57999999999999996</v>
      </c>
      <c r="G90" s="73" t="str">
        <f t="shared" ca="1" si="1"/>
        <v>replace</v>
      </c>
    </row>
    <row r="91" spans="1:7">
      <c r="A91" s="17" t="s">
        <v>359</v>
      </c>
      <c r="C91" s="19"/>
      <c r="D91" s="19"/>
      <c r="G91" s="73"/>
    </row>
    <row r="92" spans="1:7">
      <c r="A92" t="s">
        <v>111</v>
      </c>
      <c r="B92" t="s">
        <v>216</v>
      </c>
      <c r="C92" s="19" t="s">
        <v>272</v>
      </c>
      <c r="D92" s="19">
        <v>2015</v>
      </c>
      <c r="E92">
        <f ca="1">ROUND(VLOOKUP($A92,    'VRE summary'!$B$25:$AD$46,    MATCH($D92, 'VRE summary'!$B$1:$AD$1, 0), FALSE), 0)</f>
        <v>2404</v>
      </c>
      <c r="F92">
        <f>ROUND( VLOOKUP($B92,$L$5:$M$7, 2, FALSE) * (1+ VLOOKUP($A92,'vomcost mult'!$N$10:$R$32,5, FALSE)), 2)</f>
        <v>1.1299999999999999</v>
      </c>
      <c r="G92" s="73" t="str">
        <f t="shared" ca="1" si="1"/>
        <v>replace</v>
      </c>
    </row>
    <row r="93" spans="1:7">
      <c r="A93" t="s">
        <v>114</v>
      </c>
      <c r="B93" t="s">
        <v>216</v>
      </c>
      <c r="C93" s="19" t="s">
        <v>272</v>
      </c>
      <c r="D93" s="19">
        <v>2015</v>
      </c>
      <c r="E93">
        <f ca="1">ROUND(VLOOKUP($A93,    'VRE summary'!$B$25:$AD$46,    MATCH($D93, 'VRE summary'!$B$1:$AD$1, 0), FALSE), 0)</f>
        <v>1457</v>
      </c>
      <c r="F93">
        <f>ROUND( VLOOKUP($B93,$L$5:$M$7, 2, FALSE) * (1+ VLOOKUP($A93,'vomcost mult'!$N$10:$R$32,5, FALSE)), 2)</f>
        <v>1.1200000000000001</v>
      </c>
      <c r="G93" s="73" t="str">
        <f t="shared" ca="1" si="1"/>
        <v>replace</v>
      </c>
    </row>
    <row r="94" spans="1:7">
      <c r="A94" t="s">
        <v>116</v>
      </c>
      <c r="B94" t="s">
        <v>216</v>
      </c>
      <c r="C94" s="19" t="s">
        <v>272</v>
      </c>
      <c r="D94" s="19">
        <v>2015</v>
      </c>
      <c r="E94">
        <f ca="1">ROUND(VLOOKUP($A94,    'VRE summary'!$B$25:$AD$46,    MATCH($D94, 'VRE summary'!$B$1:$AD$1, 0), FALSE), 0)</f>
        <v>60</v>
      </c>
      <c r="F94">
        <f>ROUND( VLOOKUP($B94,$L$5:$M$7, 2, FALSE) * (1+ VLOOKUP($A94,'vomcost mult'!$N$10:$R$32,5, FALSE)), 2)</f>
        <v>1.46</v>
      </c>
      <c r="G94" s="73" t="str">
        <f t="shared" ca="1" si="1"/>
        <v>replace</v>
      </c>
    </row>
    <row r="95" spans="1:7">
      <c r="A95" t="s">
        <v>117</v>
      </c>
      <c r="B95" t="s">
        <v>216</v>
      </c>
      <c r="C95" s="19" t="s">
        <v>272</v>
      </c>
      <c r="D95" s="19">
        <v>2015</v>
      </c>
      <c r="E95">
        <f ca="1">ROUND(VLOOKUP($A95,    'VRE summary'!$B$25:$AD$46,    MATCH($D95, 'VRE summary'!$B$1:$AD$1, 0), FALSE), 0)</f>
        <v>41285</v>
      </c>
      <c r="F95">
        <f>ROUND( VLOOKUP($B95,$L$5:$M$7, 2, FALSE) * (1+ VLOOKUP($A95,'vomcost mult'!$N$10:$R$32,5, FALSE)), 2)</f>
        <v>1.1100000000000001</v>
      </c>
      <c r="G95" s="73" t="str">
        <f t="shared" ca="1" si="1"/>
        <v>replace</v>
      </c>
    </row>
    <row r="96" spans="1:7">
      <c r="A96" t="s">
        <v>118</v>
      </c>
      <c r="B96" t="s">
        <v>216</v>
      </c>
      <c r="C96" s="19" t="s">
        <v>272</v>
      </c>
      <c r="D96" s="19">
        <v>2015</v>
      </c>
      <c r="E96">
        <f ca="1">ROUND(VLOOKUP($A96,    'VRE summary'!$B$25:$AD$46,    MATCH($D96, 'VRE summary'!$B$1:$AD$1, 0), FALSE), 0)</f>
        <v>602</v>
      </c>
      <c r="F96">
        <f>ROUND( VLOOKUP($B96,$L$5:$M$7, 2, FALSE) * (1+ VLOOKUP($A96,'vomcost mult'!$N$10:$R$32,5, FALSE)), 2)</f>
        <v>1.25</v>
      </c>
      <c r="G96" s="73" t="str">
        <f t="shared" ca="1" si="1"/>
        <v>replace</v>
      </c>
    </row>
    <row r="97" spans="1:7">
      <c r="A97" t="s">
        <v>119</v>
      </c>
      <c r="B97" t="s">
        <v>216</v>
      </c>
      <c r="C97" s="19" t="s">
        <v>272</v>
      </c>
      <c r="D97" s="19">
        <v>2015</v>
      </c>
      <c r="E97">
        <f ca="1">ROUND(VLOOKUP($A97,    'VRE summary'!$B$25:$AD$46,    MATCH($D97, 'VRE summary'!$B$1:$AD$1, 0), FALSE), 0)</f>
        <v>3202</v>
      </c>
      <c r="F97">
        <f>ROUND( VLOOKUP($B97,$L$5:$M$7, 2, FALSE) * (1+ VLOOKUP($A97,'vomcost mult'!$N$10:$R$32,5, FALSE)), 2)</f>
        <v>1.24</v>
      </c>
      <c r="G97" s="73" t="str">
        <f t="shared" ca="1" si="1"/>
        <v>replace</v>
      </c>
    </row>
    <row r="98" spans="1:7">
      <c r="A98" t="s">
        <v>120</v>
      </c>
      <c r="B98" t="s">
        <v>216</v>
      </c>
      <c r="C98" s="19" t="s">
        <v>272</v>
      </c>
      <c r="D98" s="19">
        <v>2015</v>
      </c>
      <c r="E98">
        <f ca="1">ROUND(VLOOKUP($A98,    'VRE summary'!$B$25:$AD$46,    MATCH($D98, 'VRE summary'!$B$1:$AD$1, 0), FALSE), 0)</f>
        <v>302</v>
      </c>
      <c r="F98">
        <f>ROUND( VLOOKUP($B98,$L$5:$M$7, 2, FALSE) * (1+ VLOOKUP($A98,'vomcost mult'!$N$10:$R$32,5, FALSE)), 2)</f>
        <v>0.8</v>
      </c>
      <c r="G98" s="73" t="str">
        <f t="shared" ca="1" si="1"/>
        <v>replace</v>
      </c>
    </row>
    <row r="99" spans="1:7">
      <c r="A99" t="s">
        <v>121</v>
      </c>
      <c r="B99" t="s">
        <v>216</v>
      </c>
      <c r="C99" s="19" t="s">
        <v>272</v>
      </c>
      <c r="D99" s="19">
        <v>2015</v>
      </c>
      <c r="E99">
        <f ca="1">ROUND(VLOOKUP($A99,    'VRE summary'!$B$25:$AD$46,    MATCH($D99, 'VRE summary'!$B$1:$AD$1, 0), FALSE), 0)</f>
        <v>22982</v>
      </c>
      <c r="F99">
        <f>ROUND( VLOOKUP($B99,$L$5:$M$7, 2, FALSE) * (1+ VLOOKUP($A99,'vomcost mult'!$N$10:$R$32,5, FALSE)), 2)</f>
        <v>0.92</v>
      </c>
      <c r="G99" s="73" t="str">
        <f t="shared" ca="1" si="1"/>
        <v>replace</v>
      </c>
    </row>
    <row r="100" spans="1:7">
      <c r="A100" t="s">
        <v>122</v>
      </c>
      <c r="B100" t="s">
        <v>216</v>
      </c>
      <c r="C100" s="19" t="s">
        <v>272</v>
      </c>
      <c r="D100" s="19">
        <v>2015</v>
      </c>
      <c r="E100">
        <f ca="1">ROUND(VLOOKUP($A100,    'VRE summary'!$B$25:$AD$46,    MATCH($D100, 'VRE summary'!$B$1:$AD$1, 0), FALSE), 0)</f>
        <v>977</v>
      </c>
      <c r="F100">
        <f>ROUND( VLOOKUP($B100,$L$5:$M$7, 2, FALSE) * (1+ VLOOKUP($A100,'vomcost mult'!$N$10:$R$32,5, FALSE)), 2)</f>
        <v>1.1100000000000001</v>
      </c>
      <c r="G100" s="73" t="str">
        <f t="shared" ca="1" si="1"/>
        <v>replace</v>
      </c>
    </row>
    <row r="101" spans="1:7">
      <c r="A101" t="s">
        <v>123</v>
      </c>
      <c r="B101" t="s">
        <v>216</v>
      </c>
      <c r="C101" s="19" t="s">
        <v>272</v>
      </c>
      <c r="D101" s="19">
        <v>2015</v>
      </c>
      <c r="E101">
        <f ca="1">ROUND(VLOOKUP($A101,    'VRE summary'!$B$25:$AD$46,    MATCH($D101, 'VRE summary'!$B$1:$AD$1, 0), FALSE), 0)</f>
        <v>10324</v>
      </c>
      <c r="F101">
        <f>ROUND( VLOOKUP($B101,$L$5:$M$7, 2, FALSE) * (1+ VLOOKUP($A101,'vomcost mult'!$N$10:$R$32,5, FALSE)), 2)</f>
        <v>1.05</v>
      </c>
      <c r="G101" s="73" t="str">
        <f t="shared" ca="1" si="1"/>
        <v>replace</v>
      </c>
    </row>
    <row r="102" spans="1:7">
      <c r="A102" t="s">
        <v>124</v>
      </c>
      <c r="B102" t="s">
        <v>216</v>
      </c>
      <c r="C102" s="19" t="s">
        <v>272</v>
      </c>
      <c r="D102" s="19">
        <v>2015</v>
      </c>
      <c r="E102">
        <f ca="1">ROUND(VLOOKUP($A102,    'VRE summary'!$B$25:$AD$46,    MATCH($D102, 'VRE summary'!$B$1:$AD$1, 0), FALSE), 0)</f>
        <v>421</v>
      </c>
      <c r="F102">
        <f>ROUND( VLOOKUP($B102,$L$5:$M$7, 2, FALSE) * (1+ VLOOKUP($A102,'vomcost mult'!$N$10:$R$32,5, FALSE)), 2)</f>
        <v>0.77</v>
      </c>
      <c r="G102" s="73" t="str">
        <f t="shared" ca="1" si="1"/>
        <v>replace</v>
      </c>
    </row>
    <row r="103" spans="1:7">
      <c r="A103" t="s">
        <v>125</v>
      </c>
      <c r="B103" t="s">
        <v>216</v>
      </c>
      <c r="C103" s="19" t="s">
        <v>272</v>
      </c>
      <c r="D103" s="19">
        <v>2015</v>
      </c>
      <c r="E103">
        <f ca="1">ROUND(VLOOKUP($A103,    'VRE summary'!$B$25:$AD$46,    MATCH($D103, 'VRE summary'!$B$1:$AD$1, 0), FALSE), 0)</f>
        <v>69</v>
      </c>
      <c r="F103">
        <f>ROUND( VLOOKUP($B103,$L$5:$M$7, 2, FALSE) * (1+ VLOOKUP($A103,'vomcost mult'!$N$10:$R$32,5, FALSE)), 2)</f>
        <v>0.7</v>
      </c>
      <c r="G103" s="73" t="str">
        <f t="shared" ca="1" si="1"/>
        <v>replace</v>
      </c>
    </row>
    <row r="104" spans="1:7">
      <c r="A104" t="s">
        <v>126</v>
      </c>
      <c r="B104" t="s">
        <v>216</v>
      </c>
      <c r="C104" s="19" t="s">
        <v>272</v>
      </c>
      <c r="D104" s="19">
        <v>2015</v>
      </c>
      <c r="E104">
        <f ca="1">ROUND(VLOOKUP($A104,    'VRE summary'!$B$25:$AD$46,    MATCH($D104, 'VRE summary'!$B$1:$AD$1, 0), FALSE), 0)</f>
        <v>3034</v>
      </c>
      <c r="F104">
        <f>ROUND( VLOOKUP($B104,$L$5:$M$7, 2, FALSE) * (1+ VLOOKUP($A104,'vomcost mult'!$N$10:$R$32,5, FALSE)), 2)</f>
        <v>1.18</v>
      </c>
      <c r="G104" s="73" t="str">
        <f t="shared" ca="1" si="1"/>
        <v>replace</v>
      </c>
    </row>
    <row r="105" spans="1:7">
      <c r="A105" t="s">
        <v>127</v>
      </c>
      <c r="B105" t="s">
        <v>216</v>
      </c>
      <c r="C105" s="19" t="s">
        <v>272</v>
      </c>
      <c r="D105" s="19">
        <v>2015</v>
      </c>
      <c r="E105">
        <f ca="1">ROUND(VLOOKUP($A105,    'VRE summary'!$B$25:$AD$46,    MATCH($D105, 'VRE summary'!$B$1:$AD$1, 0), FALSE), 0)</f>
        <v>343</v>
      </c>
      <c r="F105">
        <f>ROUND( VLOOKUP($B105,$L$5:$M$7, 2, FALSE) * (1+ VLOOKUP($A105,'vomcost mult'!$N$10:$R$32,5, FALSE)), 2)</f>
        <v>1.31</v>
      </c>
      <c r="G105" s="73" t="str">
        <f t="shared" ca="1" si="1"/>
        <v>replace</v>
      </c>
    </row>
    <row r="106" spans="1:7">
      <c r="A106" t="s">
        <v>128</v>
      </c>
      <c r="B106" t="s">
        <v>216</v>
      </c>
      <c r="C106" s="19" t="s">
        <v>272</v>
      </c>
      <c r="D106" s="19">
        <v>2015</v>
      </c>
      <c r="E106">
        <f ca="1">ROUND(VLOOKUP($A106,    'VRE summary'!$B$25:$AD$46,    MATCH($D106, 'VRE summary'!$B$1:$AD$1, 0), FALSE), 0)</f>
        <v>157</v>
      </c>
      <c r="F106">
        <f>ROUND( VLOOKUP($B106,$L$5:$M$7, 2, FALSE) * (1+ VLOOKUP($A106,'vomcost mult'!$N$10:$R$32,5, FALSE)), 2)</f>
        <v>1.33</v>
      </c>
      <c r="G106" s="73" t="str">
        <f t="shared" ca="1" si="1"/>
        <v>replace</v>
      </c>
    </row>
    <row r="107" spans="1:7">
      <c r="A107" t="s">
        <v>129</v>
      </c>
      <c r="B107" t="s">
        <v>216</v>
      </c>
      <c r="C107" s="19" t="s">
        <v>272</v>
      </c>
      <c r="D107" s="19">
        <v>2015</v>
      </c>
      <c r="E107">
        <f ca="1">ROUND(VLOOKUP($A107,    'VRE summary'!$B$25:$AD$46,    MATCH($D107, 'VRE summary'!$B$1:$AD$1, 0), FALSE), 0)</f>
        <v>317</v>
      </c>
      <c r="F107">
        <f>ROUND( VLOOKUP($B107,$L$5:$M$7, 2, FALSE) * (1+ VLOOKUP($A107,'vomcost mult'!$N$10:$R$32,5, FALSE)), 2)</f>
        <v>1.3</v>
      </c>
      <c r="G107" s="73" t="str">
        <f t="shared" ca="1" si="1"/>
        <v>replace</v>
      </c>
    </row>
    <row r="108" spans="1:7">
      <c r="A108" t="s">
        <v>130</v>
      </c>
      <c r="B108" t="s">
        <v>216</v>
      </c>
      <c r="C108" s="19" t="s">
        <v>272</v>
      </c>
      <c r="D108" s="19">
        <v>2015</v>
      </c>
      <c r="E108">
        <f ca="1">ROUND(VLOOKUP($A108,    'VRE summary'!$B$25:$AD$46,    MATCH($D108, 'VRE summary'!$B$1:$AD$1, 0), FALSE), 0)</f>
        <v>5100</v>
      </c>
      <c r="F108">
        <f>ROUND( VLOOKUP($B108,$L$5:$M$7, 2, FALSE) * (1+ VLOOKUP($A108,'vomcost mult'!$N$10:$R$32,5, FALSE)), 2)</f>
        <v>0.69</v>
      </c>
      <c r="G108" s="73" t="str">
        <f t="shared" ca="1" si="1"/>
        <v>replace</v>
      </c>
    </row>
    <row r="109" spans="1:7">
      <c r="A109" t="s">
        <v>131</v>
      </c>
      <c r="B109" t="s">
        <v>216</v>
      </c>
      <c r="C109" s="19" t="s">
        <v>272</v>
      </c>
      <c r="D109" s="19">
        <v>2015</v>
      </c>
      <c r="E109">
        <f ca="1">ROUND(VLOOKUP($A109,    'VRE summary'!$B$25:$AD$46,    MATCH($D109, 'VRE summary'!$B$1:$AD$1, 0), FALSE), 0)</f>
        <v>1162</v>
      </c>
      <c r="F109">
        <f>ROUND( VLOOKUP($B109,$L$5:$M$7, 2, FALSE) * (1+ VLOOKUP($A109,'vomcost mult'!$N$10:$R$32,5, FALSE)), 2)</f>
        <v>1.18</v>
      </c>
      <c r="G109" s="73" t="str">
        <f t="shared" ca="1" si="1"/>
        <v>replace</v>
      </c>
    </row>
    <row r="110" spans="1:7">
      <c r="A110" t="s">
        <v>132</v>
      </c>
      <c r="B110" t="s">
        <v>216</v>
      </c>
      <c r="C110" s="19" t="s">
        <v>272</v>
      </c>
      <c r="D110" s="19">
        <v>2015</v>
      </c>
      <c r="E110">
        <f ca="1">ROUND(VLOOKUP($A110,    'VRE summary'!$B$25:$AD$46,    MATCH($D110, 'VRE summary'!$B$1:$AD$1, 0), FALSE), 0)</f>
        <v>2688</v>
      </c>
      <c r="F110">
        <f>ROUND( VLOOKUP($B110,$L$5:$M$7, 2, FALSE) * (1+ VLOOKUP($A110,'vomcost mult'!$N$10:$R$32,5, FALSE)), 2)</f>
        <v>1.17</v>
      </c>
      <c r="G110" s="73" t="str">
        <f t="shared" ca="1" si="1"/>
        <v>replace</v>
      </c>
    </row>
    <row r="111" spans="1:7">
      <c r="A111" t="s">
        <v>133</v>
      </c>
      <c r="B111" t="s">
        <v>216</v>
      </c>
      <c r="C111" s="19" t="s">
        <v>272</v>
      </c>
      <c r="D111" s="19">
        <v>2015</v>
      </c>
      <c r="E111">
        <f ca="1">ROUND(VLOOKUP($A111,    'VRE summary'!$B$25:$AD$46,    MATCH($D111, 'VRE summary'!$B$1:$AD$1, 0), FALSE), 0)</f>
        <v>1256</v>
      </c>
      <c r="F111">
        <f>ROUND( VLOOKUP($B111,$L$5:$M$7, 2, FALSE) * (1+ VLOOKUP($A111,'vomcost mult'!$N$10:$R$32,5, FALSE)), 2)</f>
        <v>1.17</v>
      </c>
      <c r="G111" s="73" t="str">
        <f t="shared" ca="1" si="1"/>
        <v>replace</v>
      </c>
    </row>
    <row r="112" spans="1:7">
      <c r="A112" t="s">
        <v>134</v>
      </c>
      <c r="B112" t="s">
        <v>216</v>
      </c>
      <c r="C112" s="19" t="s">
        <v>272</v>
      </c>
      <c r="D112" s="19">
        <v>2015</v>
      </c>
      <c r="E112">
        <f ca="1">ROUND(VLOOKUP($A112,    'VRE summary'!$B$25:$AD$46,    MATCH($D112, 'VRE summary'!$B$1:$AD$1, 0), FALSE), 0)</f>
        <v>722</v>
      </c>
      <c r="F112">
        <f>ROUND( VLOOKUP($B112,$L$5:$M$7, 2, FALSE) * (1+ VLOOKUP($A112,'vomcost mult'!$N$10:$R$32,5, FALSE)), 2)</f>
        <v>1.1599999999999999</v>
      </c>
      <c r="G112" s="73" t="str">
        <f t="shared" ca="1" si="1"/>
        <v>replace</v>
      </c>
    </row>
    <row r="113" spans="1:7">
      <c r="A113" t="s">
        <v>135</v>
      </c>
      <c r="B113" t="s">
        <v>216</v>
      </c>
      <c r="C113" s="19" t="s">
        <v>272</v>
      </c>
      <c r="D113" s="19">
        <v>2015</v>
      </c>
      <c r="E113">
        <f ca="1">ROUND(VLOOKUP($A113,    'VRE summary'!$B$25:$AD$46,    MATCH($D113, 'VRE summary'!$B$1:$AD$1, 0), FALSE), 0)</f>
        <v>9187</v>
      </c>
      <c r="F113">
        <f>ROUND( VLOOKUP($B113,$L$5:$M$7, 2, FALSE) * (1+ VLOOKUP($A113,'vomcost mult'!$N$10:$R$32,5, FALSE)), 2)</f>
        <v>1.17</v>
      </c>
      <c r="G113" s="73" t="str">
        <f t="shared" ca="1" si="1"/>
        <v>replace</v>
      </c>
    </row>
    <row r="114" spans="1:7">
      <c r="A114" t="s">
        <v>111</v>
      </c>
      <c r="B114" t="s">
        <v>216</v>
      </c>
      <c r="C114" s="19" t="s">
        <v>272</v>
      </c>
      <c r="D114" s="19">
        <v>2020</v>
      </c>
      <c r="E114">
        <f ca="1">ROUND(VLOOKUP($A114,    'VRE summary'!$B$25:$AD$46,    MATCH($D114, 'VRE summary'!$B$1:$AD$1, 0), FALSE), 0)</f>
        <v>3120</v>
      </c>
      <c r="F114">
        <f>ROUND( VLOOKUP($B114,$L$5:$M$7, 2, FALSE) * (1+ VLOOKUP($A114,'vomcost mult'!$N$10:$R$32,5, FALSE)), 2)</f>
        <v>1.1299999999999999</v>
      </c>
      <c r="G114" s="73" t="str">
        <f t="shared" ca="1" si="1"/>
        <v>replace</v>
      </c>
    </row>
    <row r="115" spans="1:7">
      <c r="A115" t="s">
        <v>114</v>
      </c>
      <c r="B115" t="s">
        <v>216</v>
      </c>
      <c r="C115" s="19" t="s">
        <v>272</v>
      </c>
      <c r="D115" s="19">
        <v>2020</v>
      </c>
      <c r="E115">
        <f ca="1">ROUND(VLOOKUP($A115,    'VRE summary'!$B$25:$AD$46,    MATCH($D115, 'VRE summary'!$B$1:$AD$1, 0), FALSE), 0)</f>
        <v>2457</v>
      </c>
      <c r="F115">
        <f>ROUND( VLOOKUP($B115,$L$5:$M$7, 2, FALSE) * (1+ VLOOKUP($A115,'vomcost mult'!$N$10:$R$32,5, FALSE)), 2)</f>
        <v>1.1200000000000001</v>
      </c>
      <c r="G115" s="73" t="str">
        <f t="shared" ca="1" si="1"/>
        <v>replace</v>
      </c>
    </row>
    <row r="116" spans="1:7">
      <c r="A116" t="s">
        <v>116</v>
      </c>
      <c r="B116" t="s">
        <v>216</v>
      </c>
      <c r="C116" s="19" t="s">
        <v>272</v>
      </c>
      <c r="D116" s="19">
        <v>2020</v>
      </c>
      <c r="E116">
        <f ca="1">ROUND(VLOOKUP($A116,    'VRE summary'!$B$25:$AD$46,    MATCH($D116, 'VRE summary'!$B$1:$AD$1, 0), FALSE), 0)</f>
        <v>87</v>
      </c>
      <c r="F116">
        <f>ROUND( VLOOKUP($B116,$L$5:$M$7, 2, FALSE) * (1+ VLOOKUP($A116,'vomcost mult'!$N$10:$R$32,5, FALSE)), 2)</f>
        <v>1.46</v>
      </c>
      <c r="G116" s="73" t="str">
        <f t="shared" ca="1" si="1"/>
        <v>replace</v>
      </c>
    </row>
    <row r="117" spans="1:7">
      <c r="A117" t="s">
        <v>117</v>
      </c>
      <c r="B117" t="s">
        <v>216</v>
      </c>
      <c r="C117" s="19" t="s">
        <v>272</v>
      </c>
      <c r="D117" s="19">
        <v>2020</v>
      </c>
      <c r="E117">
        <f ca="1">ROUND(VLOOKUP($A117,    'VRE summary'!$B$25:$AD$46,    MATCH($D117, 'VRE summary'!$B$1:$AD$1, 0), FALSE), 0)</f>
        <v>54806</v>
      </c>
      <c r="F117">
        <f>ROUND( VLOOKUP($B117,$L$5:$M$7, 2, FALSE) * (1+ VLOOKUP($A117,'vomcost mult'!$N$10:$R$32,5, FALSE)), 2)</f>
        <v>1.1100000000000001</v>
      </c>
      <c r="G117" s="73" t="str">
        <f t="shared" ca="1" si="1"/>
        <v>replace</v>
      </c>
    </row>
    <row r="118" spans="1:7">
      <c r="A118" t="s">
        <v>118</v>
      </c>
      <c r="B118" t="s">
        <v>216</v>
      </c>
      <c r="C118" s="19" t="s">
        <v>272</v>
      </c>
      <c r="D118" s="19">
        <v>2020</v>
      </c>
      <c r="E118">
        <f ca="1">ROUND(VLOOKUP($A118,    'VRE summary'!$B$25:$AD$46,    MATCH($D118, 'VRE summary'!$B$1:$AD$1, 0), FALSE), 0)</f>
        <v>708</v>
      </c>
      <c r="F118">
        <f>ROUND( VLOOKUP($B118,$L$5:$M$7, 2, FALSE) * (1+ VLOOKUP($A118,'vomcost mult'!$N$10:$R$32,5, FALSE)), 2)</f>
        <v>1.25</v>
      </c>
      <c r="G118" s="73" t="str">
        <f t="shared" ca="1" si="1"/>
        <v>replace</v>
      </c>
    </row>
    <row r="119" spans="1:7">
      <c r="A119" t="s">
        <v>119</v>
      </c>
      <c r="B119" t="s">
        <v>216</v>
      </c>
      <c r="C119" s="19" t="s">
        <v>272</v>
      </c>
      <c r="D119" s="19">
        <v>2020</v>
      </c>
      <c r="E119">
        <f ca="1">ROUND(VLOOKUP($A119,    'VRE summary'!$B$25:$AD$46,    MATCH($D119, 'VRE summary'!$B$1:$AD$1, 0), FALSE), 0)</f>
        <v>3771</v>
      </c>
      <c r="F119">
        <f>ROUND( VLOOKUP($B119,$L$5:$M$7, 2, FALSE) * (1+ VLOOKUP($A119,'vomcost mult'!$N$10:$R$32,5, FALSE)), 2)</f>
        <v>1.24</v>
      </c>
      <c r="G119" s="73" t="str">
        <f t="shared" ca="1" si="1"/>
        <v>replace</v>
      </c>
    </row>
    <row r="120" spans="1:7">
      <c r="A120" t="s">
        <v>120</v>
      </c>
      <c r="B120" t="s">
        <v>216</v>
      </c>
      <c r="C120" s="19" t="s">
        <v>272</v>
      </c>
      <c r="D120" s="19">
        <v>2020</v>
      </c>
      <c r="E120">
        <f ca="1">ROUND(VLOOKUP($A120,    'VRE summary'!$B$25:$AD$46,    MATCH($D120, 'VRE summary'!$B$1:$AD$1, 0), FALSE), 0)</f>
        <v>320</v>
      </c>
      <c r="F120">
        <f>ROUND( VLOOKUP($B120,$L$5:$M$7, 2, FALSE) * (1+ VLOOKUP($A120,'vomcost mult'!$N$10:$R$32,5, FALSE)), 2)</f>
        <v>0.8</v>
      </c>
      <c r="G120" s="73" t="str">
        <f t="shared" ca="1" si="1"/>
        <v>replace</v>
      </c>
    </row>
    <row r="121" spans="1:7">
      <c r="A121" t="s">
        <v>121</v>
      </c>
      <c r="B121" t="s">
        <v>216</v>
      </c>
      <c r="C121" s="19" t="s">
        <v>272</v>
      </c>
      <c r="D121" s="19">
        <v>2020</v>
      </c>
      <c r="E121">
        <f ca="1">ROUND(VLOOKUP($A121,    'VRE summary'!$B$25:$AD$46,    MATCH($D121, 'VRE summary'!$B$1:$AD$1, 0), FALSE), 0)</f>
        <v>27264</v>
      </c>
      <c r="F121">
        <f>ROUND( VLOOKUP($B121,$L$5:$M$7, 2, FALSE) * (1+ VLOOKUP($A121,'vomcost mult'!$N$10:$R$32,5, FALSE)), 2)</f>
        <v>0.92</v>
      </c>
      <c r="G121" s="73" t="str">
        <f t="shared" ca="1" si="1"/>
        <v>replace</v>
      </c>
    </row>
    <row r="122" spans="1:7">
      <c r="A122" t="s">
        <v>122</v>
      </c>
      <c r="B122" t="s">
        <v>216</v>
      </c>
      <c r="C122" s="19" t="s">
        <v>272</v>
      </c>
      <c r="D122" s="19">
        <v>2020</v>
      </c>
      <c r="E122">
        <f ca="1">ROUND(VLOOKUP($A122,    'VRE summary'!$B$25:$AD$46,    MATCH($D122, 'VRE summary'!$B$1:$AD$1, 0), FALSE), 0)</f>
        <v>2513</v>
      </c>
      <c r="F122">
        <f>ROUND( VLOOKUP($B122,$L$5:$M$7, 2, FALSE) * (1+ VLOOKUP($A122,'vomcost mult'!$N$10:$R$32,5, FALSE)), 2)</f>
        <v>1.1100000000000001</v>
      </c>
      <c r="G122" s="73" t="str">
        <f t="shared" ca="1" si="1"/>
        <v>replace</v>
      </c>
    </row>
    <row r="123" spans="1:7">
      <c r="A123" t="s">
        <v>123</v>
      </c>
      <c r="B123" t="s">
        <v>216</v>
      </c>
      <c r="C123" s="19" t="s">
        <v>272</v>
      </c>
      <c r="D123" s="19">
        <v>2020</v>
      </c>
      <c r="E123">
        <f ca="1">ROUND(VLOOKUP($A123,    'VRE summary'!$B$25:$AD$46,    MATCH($D123, 'VRE summary'!$B$1:$AD$1, 0), FALSE), 0)</f>
        <v>17949</v>
      </c>
      <c r="F123">
        <f>ROUND( VLOOKUP($B123,$L$5:$M$7, 2, FALSE) * (1+ VLOOKUP($A123,'vomcost mult'!$N$10:$R$32,5, FALSE)), 2)</f>
        <v>1.05</v>
      </c>
      <c r="G123" s="73" t="str">
        <f t="shared" ca="1" si="1"/>
        <v>replace</v>
      </c>
    </row>
    <row r="124" spans="1:7">
      <c r="A124" t="s">
        <v>124</v>
      </c>
      <c r="B124" t="s">
        <v>216</v>
      </c>
      <c r="C124" s="19" t="s">
        <v>272</v>
      </c>
      <c r="D124" s="19">
        <v>2020</v>
      </c>
      <c r="E124">
        <f ca="1">ROUND(VLOOKUP($A124,    'VRE summary'!$B$25:$AD$46,    MATCH($D124, 'VRE summary'!$B$1:$AD$1, 0), FALSE), 0)</f>
        <v>548</v>
      </c>
      <c r="F124">
        <f>ROUND( VLOOKUP($B124,$L$5:$M$7, 2, FALSE) * (1+ VLOOKUP($A124,'vomcost mult'!$N$10:$R$32,5, FALSE)), 2)</f>
        <v>0.77</v>
      </c>
      <c r="G124" s="73" t="str">
        <f t="shared" ca="1" si="1"/>
        <v>replace</v>
      </c>
    </row>
    <row r="125" spans="1:7">
      <c r="A125" t="s">
        <v>125</v>
      </c>
      <c r="B125" t="s">
        <v>216</v>
      </c>
      <c r="C125" s="19" t="s">
        <v>272</v>
      </c>
      <c r="D125" s="19">
        <v>2020</v>
      </c>
      <c r="E125">
        <f ca="1">ROUND(VLOOKUP($A125,    'VRE summary'!$B$25:$AD$46,    MATCH($D125, 'VRE summary'!$B$1:$AD$1, 0), FALSE), 0)</f>
        <v>66</v>
      </c>
      <c r="F125">
        <f>ROUND( VLOOKUP($B125,$L$5:$M$7, 2, FALSE) * (1+ VLOOKUP($A125,'vomcost mult'!$N$10:$R$32,5, FALSE)), 2)</f>
        <v>0.7</v>
      </c>
      <c r="G125" s="73" t="str">
        <f t="shared" ca="1" si="1"/>
        <v>replace</v>
      </c>
    </row>
    <row r="126" spans="1:7">
      <c r="A126" t="s">
        <v>126</v>
      </c>
      <c r="B126" t="s">
        <v>216</v>
      </c>
      <c r="C126" s="19" t="s">
        <v>272</v>
      </c>
      <c r="D126" s="19">
        <v>2020</v>
      </c>
      <c r="E126">
        <f ca="1">ROUND(VLOOKUP($A126,    'VRE summary'!$B$25:$AD$46,    MATCH($D126, 'VRE summary'!$B$1:$AD$1, 0), FALSE), 0)</f>
        <v>4325</v>
      </c>
      <c r="F126">
        <f>ROUND( VLOOKUP($B126,$L$5:$M$7, 2, FALSE) * (1+ VLOOKUP($A126,'vomcost mult'!$N$10:$R$32,5, FALSE)), 2)</f>
        <v>1.18</v>
      </c>
      <c r="G126" s="73" t="str">
        <f t="shared" ca="1" si="1"/>
        <v>replace</v>
      </c>
    </row>
    <row r="127" spans="1:7">
      <c r="A127" t="s">
        <v>127</v>
      </c>
      <c r="B127" t="s">
        <v>216</v>
      </c>
      <c r="C127" s="19" t="s">
        <v>272</v>
      </c>
      <c r="D127" s="19">
        <v>2020</v>
      </c>
      <c r="E127">
        <f ca="1">ROUND(VLOOKUP($A127,    'VRE summary'!$B$25:$AD$46,    MATCH($D127, 'VRE summary'!$B$1:$AD$1, 0), FALSE), 0)</f>
        <v>1669</v>
      </c>
      <c r="F127">
        <f>ROUND( VLOOKUP($B127,$L$5:$M$7, 2, FALSE) * (1+ VLOOKUP($A127,'vomcost mult'!$N$10:$R$32,5, FALSE)), 2)</f>
        <v>1.31</v>
      </c>
      <c r="G127" s="73" t="str">
        <f t="shared" ca="1" si="1"/>
        <v>replace</v>
      </c>
    </row>
    <row r="128" spans="1:7">
      <c r="A128" t="s">
        <v>128</v>
      </c>
      <c r="B128" t="s">
        <v>216</v>
      </c>
      <c r="C128" s="19" t="s">
        <v>272</v>
      </c>
      <c r="D128" s="19">
        <v>2020</v>
      </c>
      <c r="E128">
        <f ca="1">ROUND(VLOOKUP($A128,    'VRE summary'!$B$25:$AD$46,    MATCH($D128, 'VRE summary'!$B$1:$AD$1, 0), FALSE), 0)</f>
        <v>763</v>
      </c>
      <c r="F128">
        <f>ROUND( VLOOKUP($B128,$L$5:$M$7, 2, FALSE) * (1+ VLOOKUP($A128,'vomcost mult'!$N$10:$R$32,5, FALSE)), 2)</f>
        <v>1.33</v>
      </c>
      <c r="G128" s="73" t="str">
        <f t="shared" ca="1" si="1"/>
        <v>replace</v>
      </c>
    </row>
    <row r="129" spans="1:7">
      <c r="A129" t="s">
        <v>129</v>
      </c>
      <c r="B129" t="s">
        <v>216</v>
      </c>
      <c r="C129" s="19" t="s">
        <v>272</v>
      </c>
      <c r="D129" s="19">
        <v>2020</v>
      </c>
      <c r="E129">
        <f ca="1">ROUND(VLOOKUP($A129,    'VRE summary'!$B$25:$AD$46,    MATCH($D129, 'VRE summary'!$B$1:$AD$1, 0), FALSE), 0)</f>
        <v>1542</v>
      </c>
      <c r="F129">
        <f>ROUND( VLOOKUP($B129,$L$5:$M$7, 2, FALSE) * (1+ VLOOKUP($A129,'vomcost mult'!$N$10:$R$32,5, FALSE)), 2)</f>
        <v>1.3</v>
      </c>
      <c r="G129" s="73" t="str">
        <f t="shared" ca="1" si="1"/>
        <v>replace</v>
      </c>
    </row>
    <row r="130" spans="1:7">
      <c r="A130" t="s">
        <v>130</v>
      </c>
      <c r="B130" t="s">
        <v>216</v>
      </c>
      <c r="C130" s="19" t="s">
        <v>272</v>
      </c>
      <c r="D130" s="19">
        <v>2020</v>
      </c>
      <c r="E130">
        <f ca="1">ROUND(VLOOKUP($A130,    'VRE summary'!$B$25:$AD$46,    MATCH($D130, 'VRE summary'!$B$1:$AD$1, 0), FALSE), 0)</f>
        <v>6614</v>
      </c>
      <c r="F130">
        <f>ROUND( VLOOKUP($B130,$L$5:$M$7, 2, FALSE) * (1+ VLOOKUP($A130,'vomcost mult'!$N$10:$R$32,5, FALSE)), 2)</f>
        <v>0.69</v>
      </c>
      <c r="G130" s="73" t="str">
        <f t="shared" ca="1" si="1"/>
        <v>replace</v>
      </c>
    </row>
    <row r="131" spans="1:7">
      <c r="A131" t="s">
        <v>131</v>
      </c>
      <c r="B131" t="s">
        <v>216</v>
      </c>
      <c r="C131" s="19" t="s">
        <v>272</v>
      </c>
      <c r="D131" s="19">
        <v>2020</v>
      </c>
      <c r="E131">
        <f ca="1">ROUND(VLOOKUP($A131,    'VRE summary'!$B$25:$AD$46,    MATCH($D131, 'VRE summary'!$B$1:$AD$1, 0), FALSE), 0)</f>
        <v>1952</v>
      </c>
      <c r="F131">
        <f>ROUND( VLOOKUP($B131,$L$5:$M$7, 2, FALSE) * (1+ VLOOKUP($A131,'vomcost mult'!$N$10:$R$32,5, FALSE)), 2)</f>
        <v>1.18</v>
      </c>
      <c r="G131" s="73" t="str">
        <f t="shared" ca="1" si="1"/>
        <v>replace</v>
      </c>
    </row>
    <row r="132" spans="1:7">
      <c r="A132" t="s">
        <v>132</v>
      </c>
      <c r="B132" t="s">
        <v>216</v>
      </c>
      <c r="C132" s="19" t="s">
        <v>272</v>
      </c>
      <c r="D132" s="19">
        <v>2020</v>
      </c>
      <c r="E132">
        <f ca="1">ROUND(VLOOKUP($A132,    'VRE summary'!$B$25:$AD$46,    MATCH($D132, 'VRE summary'!$B$1:$AD$1, 0), FALSE), 0)</f>
        <v>4515</v>
      </c>
      <c r="F132">
        <f>ROUND( VLOOKUP($B132,$L$5:$M$7, 2, FALSE) * (1+ VLOOKUP($A132,'vomcost mult'!$N$10:$R$32,5, FALSE)), 2)</f>
        <v>1.17</v>
      </c>
      <c r="G132" s="73" t="str">
        <f t="shared" ref="G132:G196" ca="1" si="2">IF(E132=0, "remove", "replace")</f>
        <v>replace</v>
      </c>
    </row>
    <row r="133" spans="1:7">
      <c r="A133" t="s">
        <v>133</v>
      </c>
      <c r="B133" t="s">
        <v>216</v>
      </c>
      <c r="C133" s="19" t="s">
        <v>272</v>
      </c>
      <c r="D133" s="19">
        <v>2020</v>
      </c>
      <c r="E133">
        <f ca="1">ROUND(VLOOKUP($A133,    'VRE summary'!$B$25:$AD$46,    MATCH($D133, 'VRE summary'!$B$1:$AD$1, 0), FALSE), 0)</f>
        <v>2109</v>
      </c>
      <c r="F133">
        <f>ROUND( VLOOKUP($B133,$L$5:$M$7, 2, FALSE) * (1+ VLOOKUP($A133,'vomcost mult'!$N$10:$R$32,5, FALSE)), 2)</f>
        <v>1.17</v>
      </c>
      <c r="G133" s="73" t="str">
        <f t="shared" ca="1" si="2"/>
        <v>replace</v>
      </c>
    </row>
    <row r="134" spans="1:7">
      <c r="A134" t="s">
        <v>134</v>
      </c>
      <c r="B134" t="s">
        <v>216</v>
      </c>
      <c r="C134" s="19" t="s">
        <v>272</v>
      </c>
      <c r="D134" s="19">
        <v>2020</v>
      </c>
      <c r="E134">
        <f ca="1">ROUND(VLOOKUP($A134,    'VRE summary'!$B$25:$AD$46,    MATCH($D134, 'VRE summary'!$B$1:$AD$1, 0), FALSE), 0)</f>
        <v>1212</v>
      </c>
      <c r="F134">
        <f>ROUND( VLOOKUP($B134,$L$5:$M$7, 2, FALSE) * (1+ VLOOKUP($A134,'vomcost mult'!$N$10:$R$32,5, FALSE)), 2)</f>
        <v>1.1599999999999999</v>
      </c>
      <c r="G134" s="73" t="str">
        <f t="shared" ca="1" si="2"/>
        <v>replace</v>
      </c>
    </row>
    <row r="135" spans="1:7">
      <c r="A135" t="s">
        <v>135</v>
      </c>
      <c r="B135" t="s">
        <v>216</v>
      </c>
      <c r="C135" s="19" t="s">
        <v>272</v>
      </c>
      <c r="D135" s="19">
        <v>2020</v>
      </c>
      <c r="E135">
        <f ca="1">ROUND(VLOOKUP($A135,    'VRE summary'!$B$25:$AD$46,    MATCH($D135, 'VRE summary'!$B$1:$AD$1, 0), FALSE), 0)</f>
        <v>14220</v>
      </c>
      <c r="F135">
        <f>ROUND( VLOOKUP($B135,$L$5:$M$7, 2, FALSE) * (1+ VLOOKUP($A135,'vomcost mult'!$N$10:$R$32,5, FALSE)), 2)</f>
        <v>1.17</v>
      </c>
      <c r="G135" s="73" t="str">
        <f t="shared" ca="1" si="2"/>
        <v>replace</v>
      </c>
    </row>
    <row r="136" spans="1:7">
      <c r="A136" t="s">
        <v>111</v>
      </c>
      <c r="B136" t="s">
        <v>216</v>
      </c>
      <c r="C136" s="19" t="s">
        <v>272</v>
      </c>
      <c r="D136" s="19">
        <v>2025</v>
      </c>
      <c r="E136">
        <f ca="1">ROUND(VLOOKUP($A136,    'VRE summary'!$B$25:$AD$46,    MATCH($D136, 'VRE summary'!$B$1:$AD$1, 0), FALSE), 0)</f>
        <v>4216</v>
      </c>
      <c r="F136">
        <f>ROUND( VLOOKUP($B136,$L$5:$M$7, 2, FALSE) * (1+ VLOOKUP($A136,'vomcost mult'!$N$10:$R$32,5, FALSE)), 2)</f>
        <v>1.1299999999999999</v>
      </c>
      <c r="G136" s="73" t="str">
        <f t="shared" ca="1" si="2"/>
        <v>replace</v>
      </c>
    </row>
    <row r="137" spans="1:7">
      <c r="A137" t="s">
        <v>114</v>
      </c>
      <c r="B137" t="s">
        <v>216</v>
      </c>
      <c r="C137" s="19" t="s">
        <v>272</v>
      </c>
      <c r="D137" s="19">
        <v>2025</v>
      </c>
      <c r="E137">
        <f ca="1">ROUND(VLOOKUP($A137,    'VRE summary'!$B$25:$AD$46,    MATCH($D137, 'VRE summary'!$B$1:$AD$1, 0), FALSE), 0)</f>
        <v>3651</v>
      </c>
      <c r="F137">
        <f>ROUND( VLOOKUP($B137,$L$5:$M$7, 2, FALSE) * (1+ VLOOKUP($A137,'vomcost mult'!$N$10:$R$32,5, FALSE)), 2)</f>
        <v>1.1200000000000001</v>
      </c>
      <c r="G137" s="73" t="str">
        <f t="shared" ca="1" si="2"/>
        <v>replace</v>
      </c>
    </row>
    <row r="138" spans="1:7">
      <c r="A138" t="s">
        <v>116</v>
      </c>
      <c r="B138" t="s">
        <v>216</v>
      </c>
      <c r="C138" s="19" t="s">
        <v>272</v>
      </c>
      <c r="D138" s="19">
        <v>2025</v>
      </c>
      <c r="E138">
        <f ca="1">ROUND(VLOOKUP($A138,    'VRE summary'!$B$25:$AD$46,    MATCH($D138, 'VRE summary'!$B$1:$AD$1, 0), FALSE), 0)</f>
        <v>104</v>
      </c>
      <c r="F138">
        <f>ROUND( VLOOKUP($B138,$L$5:$M$7, 2, FALSE) * (1+ VLOOKUP($A138,'vomcost mult'!$N$10:$R$32,5, FALSE)), 2)</f>
        <v>1.46</v>
      </c>
      <c r="G138" s="73" t="str">
        <f t="shared" ca="1" si="2"/>
        <v>replace</v>
      </c>
    </row>
    <row r="139" spans="1:7">
      <c r="A139" t="s">
        <v>117</v>
      </c>
      <c r="B139" t="s">
        <v>216</v>
      </c>
      <c r="C139" s="19" t="s">
        <v>272</v>
      </c>
      <c r="D139" s="19">
        <v>2025</v>
      </c>
      <c r="E139">
        <f ca="1">ROUND(VLOOKUP($A139,    'VRE summary'!$B$25:$AD$46,    MATCH($D139, 'VRE summary'!$B$1:$AD$1, 0), FALSE), 0)</f>
        <v>65612</v>
      </c>
      <c r="F139">
        <f>ROUND( VLOOKUP($B139,$L$5:$M$7, 2, FALSE) * (1+ VLOOKUP($A139,'vomcost mult'!$N$10:$R$32,5, FALSE)), 2)</f>
        <v>1.1100000000000001</v>
      </c>
      <c r="G139" s="73" t="str">
        <f t="shared" ca="1" si="2"/>
        <v>replace</v>
      </c>
    </row>
    <row r="140" spans="1:7">
      <c r="A140" t="s">
        <v>118</v>
      </c>
      <c r="B140" t="s">
        <v>216</v>
      </c>
      <c r="C140" s="19" t="s">
        <v>272</v>
      </c>
      <c r="D140" s="19">
        <v>2025</v>
      </c>
      <c r="E140">
        <f ca="1">ROUND(VLOOKUP($A140,    'VRE summary'!$B$25:$AD$46,    MATCH($D140, 'VRE summary'!$B$1:$AD$1, 0), FALSE), 0)</f>
        <v>834</v>
      </c>
      <c r="F140">
        <f>ROUND( VLOOKUP($B140,$L$5:$M$7, 2, FALSE) * (1+ VLOOKUP($A140,'vomcost mult'!$N$10:$R$32,5, FALSE)), 2)</f>
        <v>1.25</v>
      </c>
      <c r="G140" s="73" t="str">
        <f t="shared" ca="1" si="2"/>
        <v>replace</v>
      </c>
    </row>
    <row r="141" spans="1:7">
      <c r="A141" t="s">
        <v>119</v>
      </c>
      <c r="B141" t="s">
        <v>216</v>
      </c>
      <c r="C141" s="19" t="s">
        <v>272</v>
      </c>
      <c r="D141" s="19">
        <v>2025</v>
      </c>
      <c r="E141">
        <f ca="1">ROUND(VLOOKUP($A141,    'VRE summary'!$B$25:$AD$46,    MATCH($D141, 'VRE summary'!$B$1:$AD$1, 0), FALSE), 0)</f>
        <v>4441</v>
      </c>
      <c r="F141">
        <f>ROUND( VLOOKUP($B141,$L$5:$M$7, 2, FALSE) * (1+ VLOOKUP($A141,'vomcost mult'!$N$10:$R$32,5, FALSE)), 2)</f>
        <v>1.24</v>
      </c>
      <c r="G141" s="73" t="str">
        <f t="shared" ca="1" si="2"/>
        <v>replace</v>
      </c>
    </row>
    <row r="142" spans="1:7">
      <c r="A142" t="s">
        <v>120</v>
      </c>
      <c r="B142" t="s">
        <v>216</v>
      </c>
      <c r="C142" s="19" t="s">
        <v>272</v>
      </c>
      <c r="D142" s="19">
        <v>2025</v>
      </c>
      <c r="E142">
        <f ca="1">ROUND(VLOOKUP($A142,    'VRE summary'!$B$25:$AD$46,    MATCH($D142, 'VRE summary'!$B$1:$AD$1, 0), FALSE), 0)</f>
        <v>732</v>
      </c>
      <c r="F142">
        <f>ROUND( VLOOKUP($B142,$L$5:$M$7, 2, FALSE) * (1+ VLOOKUP($A142,'vomcost mult'!$N$10:$R$32,5, FALSE)), 2)</f>
        <v>0.8</v>
      </c>
      <c r="G142" s="73" t="str">
        <f t="shared" ca="1" si="2"/>
        <v>replace</v>
      </c>
    </row>
    <row r="143" spans="1:7">
      <c r="A143" t="s">
        <v>121</v>
      </c>
      <c r="B143" t="s">
        <v>216</v>
      </c>
      <c r="C143" s="19" t="s">
        <v>272</v>
      </c>
      <c r="D143" s="19">
        <v>2025</v>
      </c>
      <c r="E143">
        <f ca="1">ROUND(VLOOKUP($A143,    'VRE summary'!$B$25:$AD$46,    MATCH($D143, 'VRE summary'!$B$1:$AD$1, 0), FALSE), 0)</f>
        <v>32422</v>
      </c>
      <c r="F143">
        <f>ROUND( VLOOKUP($B143,$L$5:$M$7, 2, FALSE) * (1+ VLOOKUP($A143,'vomcost mult'!$N$10:$R$32,5, FALSE)), 2)</f>
        <v>0.92</v>
      </c>
      <c r="G143" s="73" t="str">
        <f t="shared" ca="1" si="2"/>
        <v>replace</v>
      </c>
    </row>
    <row r="144" spans="1:7">
      <c r="A144" t="s">
        <v>122</v>
      </c>
      <c r="B144" t="s">
        <v>216</v>
      </c>
      <c r="C144" s="19" t="s">
        <v>272</v>
      </c>
      <c r="D144" s="19">
        <v>2025</v>
      </c>
      <c r="E144">
        <f ca="1">ROUND(VLOOKUP($A144,    'VRE summary'!$B$25:$AD$46,    MATCH($D144, 'VRE summary'!$B$1:$AD$1, 0), FALSE), 0)</f>
        <v>8776</v>
      </c>
      <c r="F144">
        <f>ROUND( VLOOKUP($B144,$L$5:$M$7, 2, FALSE) * (1+ VLOOKUP($A144,'vomcost mult'!$N$10:$R$32,5, FALSE)), 2)</f>
        <v>1.1100000000000001</v>
      </c>
      <c r="G144" s="73" t="str">
        <f t="shared" ca="1" si="2"/>
        <v>replace</v>
      </c>
    </row>
    <row r="145" spans="1:7">
      <c r="A145" t="s">
        <v>123</v>
      </c>
      <c r="B145" t="s">
        <v>216</v>
      </c>
      <c r="C145" s="19" t="s">
        <v>272</v>
      </c>
      <c r="D145" s="19">
        <v>2025</v>
      </c>
      <c r="E145">
        <f ca="1">ROUND(VLOOKUP($A145,    'VRE summary'!$B$25:$AD$46,    MATCH($D145, 'VRE summary'!$B$1:$AD$1, 0), FALSE), 0)</f>
        <v>24270</v>
      </c>
      <c r="F145">
        <f>ROUND( VLOOKUP($B145,$L$5:$M$7, 2, FALSE) * (1+ VLOOKUP($A145,'vomcost mult'!$N$10:$R$32,5, FALSE)), 2)</f>
        <v>1.05</v>
      </c>
      <c r="G145" s="73" t="str">
        <f t="shared" ca="1" si="2"/>
        <v>replace</v>
      </c>
    </row>
    <row r="146" spans="1:7">
      <c r="A146" t="s">
        <v>124</v>
      </c>
      <c r="B146" t="s">
        <v>216</v>
      </c>
      <c r="C146" s="19" t="s">
        <v>272</v>
      </c>
      <c r="D146" s="19">
        <v>2025</v>
      </c>
      <c r="E146">
        <f ca="1">ROUND(VLOOKUP($A146,    'VRE summary'!$B$25:$AD$46,    MATCH($D146, 'VRE summary'!$B$1:$AD$1, 0), FALSE), 0)</f>
        <v>1944</v>
      </c>
      <c r="F146">
        <f>ROUND( VLOOKUP($B146,$L$5:$M$7, 2, FALSE) * (1+ VLOOKUP($A146,'vomcost mult'!$N$10:$R$32,5, FALSE)), 2)</f>
        <v>0.77</v>
      </c>
      <c r="G146" s="73" t="str">
        <f t="shared" ca="1" si="2"/>
        <v>replace</v>
      </c>
    </row>
    <row r="147" spans="1:7">
      <c r="A147" t="s">
        <v>125</v>
      </c>
      <c r="B147" t="s">
        <v>216</v>
      </c>
      <c r="C147" s="19" t="s">
        <v>272</v>
      </c>
      <c r="D147" s="19">
        <v>2025</v>
      </c>
      <c r="E147">
        <f ca="1">ROUND(VLOOKUP($A147,    'VRE summary'!$B$25:$AD$46,    MATCH($D147, 'VRE summary'!$B$1:$AD$1, 0), FALSE), 0)</f>
        <v>154</v>
      </c>
      <c r="F147">
        <f>ROUND( VLOOKUP($B147,$L$5:$M$7, 2, FALSE) * (1+ VLOOKUP($A147,'vomcost mult'!$N$10:$R$32,5, FALSE)), 2)</f>
        <v>0.7</v>
      </c>
      <c r="G147" s="73" t="str">
        <f t="shared" ca="1" si="2"/>
        <v>replace</v>
      </c>
    </row>
    <row r="148" spans="1:7">
      <c r="A148" t="s">
        <v>126</v>
      </c>
      <c r="B148" t="s">
        <v>216</v>
      </c>
      <c r="C148" s="19" t="s">
        <v>272</v>
      </c>
      <c r="D148" s="19">
        <v>2025</v>
      </c>
      <c r="E148">
        <f ca="1">ROUND(VLOOKUP($A148,    'VRE summary'!$B$25:$AD$46,    MATCH($D148, 'VRE summary'!$B$1:$AD$1, 0), FALSE), 0)</f>
        <v>8018</v>
      </c>
      <c r="F148">
        <f>ROUND( VLOOKUP($B148,$L$5:$M$7, 2, FALSE) * (1+ VLOOKUP($A148,'vomcost mult'!$N$10:$R$32,5, FALSE)), 2)</f>
        <v>1.18</v>
      </c>
      <c r="G148" s="73" t="str">
        <f t="shared" ca="1" si="2"/>
        <v>replace</v>
      </c>
    </row>
    <row r="149" spans="1:7">
      <c r="A149" t="s">
        <v>127</v>
      </c>
      <c r="B149" t="s">
        <v>216</v>
      </c>
      <c r="C149" s="19" t="s">
        <v>272</v>
      </c>
      <c r="D149" s="19">
        <v>2025</v>
      </c>
      <c r="E149">
        <f ca="1">ROUND(VLOOKUP($A149,    'VRE summary'!$B$25:$AD$46,    MATCH($D149, 'VRE summary'!$B$1:$AD$1, 0), FALSE), 0)</f>
        <v>2513</v>
      </c>
      <c r="F149">
        <f>ROUND( VLOOKUP($B149,$L$5:$M$7, 2, FALSE) * (1+ VLOOKUP($A149,'vomcost mult'!$N$10:$R$32,5, FALSE)), 2)</f>
        <v>1.31</v>
      </c>
      <c r="G149" s="73" t="str">
        <f t="shared" ca="1" si="2"/>
        <v>replace</v>
      </c>
    </row>
    <row r="150" spans="1:7">
      <c r="A150" t="s">
        <v>128</v>
      </c>
      <c r="B150" t="s">
        <v>216</v>
      </c>
      <c r="C150" s="19" t="s">
        <v>272</v>
      </c>
      <c r="D150" s="19">
        <v>2025</v>
      </c>
      <c r="E150">
        <f ca="1">ROUND(VLOOKUP($A150,    'VRE summary'!$B$25:$AD$46,    MATCH($D150, 'VRE summary'!$B$1:$AD$1, 0), FALSE), 0)</f>
        <v>1149</v>
      </c>
      <c r="F150">
        <f>ROUND( VLOOKUP($B150,$L$5:$M$7, 2, FALSE) * (1+ VLOOKUP($A150,'vomcost mult'!$N$10:$R$32,5, FALSE)), 2)</f>
        <v>1.33</v>
      </c>
      <c r="G150" s="73" t="str">
        <f t="shared" ca="1" si="2"/>
        <v>replace</v>
      </c>
    </row>
    <row r="151" spans="1:7">
      <c r="A151" t="s">
        <v>129</v>
      </c>
      <c r="B151" t="s">
        <v>216</v>
      </c>
      <c r="C151" s="19" t="s">
        <v>272</v>
      </c>
      <c r="D151" s="19">
        <v>2025</v>
      </c>
      <c r="E151">
        <f ca="1">ROUND(VLOOKUP($A151,    'VRE summary'!$B$25:$AD$46,    MATCH($D151, 'VRE summary'!$B$1:$AD$1, 0), FALSE), 0)</f>
        <v>2323</v>
      </c>
      <c r="F151">
        <f>ROUND( VLOOKUP($B151,$L$5:$M$7, 2, FALSE) * (1+ VLOOKUP($A151,'vomcost mult'!$N$10:$R$32,5, FALSE)), 2)</f>
        <v>1.3</v>
      </c>
      <c r="G151" s="73" t="str">
        <f t="shared" ca="1" si="2"/>
        <v>replace</v>
      </c>
    </row>
    <row r="152" spans="1:7">
      <c r="A152" t="s">
        <v>130</v>
      </c>
      <c r="B152" t="s">
        <v>216</v>
      </c>
      <c r="C152" s="19" t="s">
        <v>272</v>
      </c>
      <c r="D152" s="19">
        <v>2025</v>
      </c>
      <c r="E152">
        <f ca="1">ROUND(VLOOKUP($A152,    'VRE summary'!$B$25:$AD$46,    MATCH($D152, 'VRE summary'!$B$1:$AD$1, 0), FALSE), 0)</f>
        <v>10540</v>
      </c>
      <c r="F152">
        <f>ROUND( VLOOKUP($B152,$L$5:$M$7, 2, FALSE) * (1+ VLOOKUP($A152,'vomcost mult'!$N$10:$R$32,5, FALSE)), 2)</f>
        <v>0.69</v>
      </c>
      <c r="G152" s="73" t="str">
        <f t="shared" ca="1" si="2"/>
        <v>replace</v>
      </c>
    </row>
    <row r="153" spans="1:7">
      <c r="A153" t="s">
        <v>131</v>
      </c>
      <c r="B153" t="s">
        <v>216</v>
      </c>
      <c r="C153" s="19" t="s">
        <v>272</v>
      </c>
      <c r="D153" s="19">
        <v>2025</v>
      </c>
      <c r="E153">
        <f ca="1">ROUND(VLOOKUP($A153,    'VRE summary'!$B$25:$AD$46,    MATCH($D153, 'VRE summary'!$B$1:$AD$1, 0), FALSE), 0)</f>
        <v>3729</v>
      </c>
      <c r="F153">
        <f>ROUND( VLOOKUP($B153,$L$5:$M$7, 2, FALSE) * (1+ VLOOKUP($A153,'vomcost mult'!$N$10:$R$32,5, FALSE)), 2)</f>
        <v>1.18</v>
      </c>
      <c r="G153" s="73" t="str">
        <f t="shared" ca="1" si="2"/>
        <v>replace</v>
      </c>
    </row>
    <row r="154" spans="1:7">
      <c r="A154" t="s">
        <v>132</v>
      </c>
      <c r="B154" t="s">
        <v>216</v>
      </c>
      <c r="C154" s="19" t="s">
        <v>272</v>
      </c>
      <c r="D154" s="19">
        <v>2025</v>
      </c>
      <c r="E154">
        <f ca="1">ROUND(VLOOKUP($A154,    'VRE summary'!$B$25:$AD$46,    MATCH($D154, 'VRE summary'!$B$1:$AD$1, 0), FALSE), 0)</f>
        <v>8623</v>
      </c>
      <c r="F154">
        <f>ROUND( VLOOKUP($B154,$L$5:$M$7, 2, FALSE) * (1+ VLOOKUP($A154,'vomcost mult'!$N$10:$R$32,5, FALSE)), 2)</f>
        <v>1.17</v>
      </c>
      <c r="G154" s="73" t="str">
        <f t="shared" ca="1" si="2"/>
        <v>replace</v>
      </c>
    </row>
    <row r="155" spans="1:7">
      <c r="A155" t="s">
        <v>133</v>
      </c>
      <c r="B155" t="s">
        <v>216</v>
      </c>
      <c r="C155" s="19" t="s">
        <v>272</v>
      </c>
      <c r="D155" s="19">
        <v>2025</v>
      </c>
      <c r="E155">
        <f ca="1">ROUND(VLOOKUP($A155,    'VRE summary'!$B$25:$AD$46,    MATCH($D155, 'VRE summary'!$B$1:$AD$1, 0), FALSE), 0)</f>
        <v>4028</v>
      </c>
      <c r="F155">
        <f>ROUND( VLOOKUP($B155,$L$5:$M$7, 2, FALSE) * (1+ VLOOKUP($A155,'vomcost mult'!$N$10:$R$32,5, FALSE)), 2)</f>
        <v>1.17</v>
      </c>
      <c r="G155" s="73" t="str">
        <f t="shared" ca="1" si="2"/>
        <v>replace</v>
      </c>
    </row>
    <row r="156" spans="1:7">
      <c r="A156" t="s">
        <v>134</v>
      </c>
      <c r="B156" t="s">
        <v>216</v>
      </c>
      <c r="C156" s="19" t="s">
        <v>272</v>
      </c>
      <c r="D156" s="19">
        <v>2025</v>
      </c>
      <c r="E156">
        <f ca="1">ROUND(VLOOKUP($A156,    'VRE summary'!$B$25:$AD$46,    MATCH($D156, 'VRE summary'!$B$1:$AD$1, 0), FALSE), 0)</f>
        <v>2315</v>
      </c>
      <c r="F156">
        <f>ROUND( VLOOKUP($B156,$L$5:$M$7, 2, FALSE) * (1+ VLOOKUP($A156,'vomcost mult'!$N$10:$R$32,5, FALSE)), 2)</f>
        <v>1.1599999999999999</v>
      </c>
      <c r="G156" s="73" t="str">
        <f t="shared" ca="1" si="2"/>
        <v>replace</v>
      </c>
    </row>
    <row r="157" spans="1:7">
      <c r="A157" t="s">
        <v>135</v>
      </c>
      <c r="B157" t="s">
        <v>216</v>
      </c>
      <c r="C157" s="19" t="s">
        <v>272</v>
      </c>
      <c r="D157" s="19">
        <v>2025</v>
      </c>
      <c r="E157">
        <f ca="1">ROUND(VLOOKUP($A157,    'VRE summary'!$B$25:$AD$46,    MATCH($D157, 'VRE summary'!$B$1:$AD$1, 0), FALSE), 0)</f>
        <v>16863</v>
      </c>
      <c r="F157">
        <f>ROUND( VLOOKUP($B157,$L$5:$M$7, 2, FALSE) * (1+ VLOOKUP($A157,'vomcost mult'!$N$10:$R$32,5, FALSE)), 2)</f>
        <v>1.17</v>
      </c>
      <c r="G157" s="73" t="str">
        <f t="shared" ca="1" si="2"/>
        <v>replace</v>
      </c>
    </row>
    <row r="158" spans="1:7">
      <c r="A158" t="s">
        <v>111</v>
      </c>
      <c r="B158" t="s">
        <v>216</v>
      </c>
      <c r="C158" s="19" t="s">
        <v>272</v>
      </c>
      <c r="D158" s="19">
        <v>2030</v>
      </c>
      <c r="E158">
        <f ca="1">ROUND(VLOOKUP($A158,    'VRE summary'!$B$25:$AD$46,    MATCH($D158, 'VRE summary'!$B$1:$AD$1, 0), FALSE), 0)</f>
        <v>5209</v>
      </c>
      <c r="F158">
        <f>ROUND( VLOOKUP($B158,$L$5:$M$7, 2, FALSE) * (1+ VLOOKUP($A158,'vomcost mult'!$N$10:$R$32,5, FALSE)), 2)</f>
        <v>1.1299999999999999</v>
      </c>
      <c r="G158" s="73" t="str">
        <f t="shared" ca="1" si="2"/>
        <v>replace</v>
      </c>
    </row>
    <row r="159" spans="1:7">
      <c r="A159" t="s">
        <v>114</v>
      </c>
      <c r="B159" t="s">
        <v>216</v>
      </c>
      <c r="C159" s="19" t="s">
        <v>272</v>
      </c>
      <c r="D159" s="19">
        <v>2030</v>
      </c>
      <c r="E159">
        <f ca="1">ROUND(VLOOKUP($A159,    'VRE summary'!$B$25:$AD$46,    MATCH($D159, 'VRE summary'!$B$1:$AD$1, 0), FALSE), 0)</f>
        <v>4766</v>
      </c>
      <c r="F159">
        <f>ROUND( VLOOKUP($B159,$L$5:$M$7, 2, FALSE) * (1+ VLOOKUP($A159,'vomcost mult'!$N$10:$R$32,5, FALSE)), 2)</f>
        <v>1.1200000000000001</v>
      </c>
      <c r="G159" s="73" t="str">
        <f t="shared" ca="1" si="2"/>
        <v>replace</v>
      </c>
    </row>
    <row r="160" spans="1:7">
      <c r="A160" t="s">
        <v>116</v>
      </c>
      <c r="B160" t="s">
        <v>216</v>
      </c>
      <c r="C160" s="19" t="s">
        <v>272</v>
      </c>
      <c r="D160" s="19">
        <v>2030</v>
      </c>
      <c r="E160">
        <f ca="1">ROUND(VLOOKUP($A160,    'VRE summary'!$B$25:$AD$46,    MATCH($D160, 'VRE summary'!$B$1:$AD$1, 0), FALSE), 0)</f>
        <v>124</v>
      </c>
      <c r="F160">
        <f>ROUND( VLOOKUP($B160,$L$5:$M$7, 2, FALSE) * (1+ VLOOKUP($A160,'vomcost mult'!$N$10:$R$32,5, FALSE)), 2)</f>
        <v>1.46</v>
      </c>
      <c r="G160" s="73" t="str">
        <f t="shared" ca="1" si="2"/>
        <v>replace</v>
      </c>
    </row>
    <row r="161" spans="1:7">
      <c r="A161" t="s">
        <v>117</v>
      </c>
      <c r="B161" t="s">
        <v>216</v>
      </c>
      <c r="C161" s="19" t="s">
        <v>272</v>
      </c>
      <c r="D161" s="19">
        <v>2030</v>
      </c>
      <c r="E161">
        <f ca="1">ROUND(VLOOKUP($A161,    'VRE summary'!$B$25:$AD$46,    MATCH($D161, 'VRE summary'!$B$1:$AD$1, 0), FALSE), 0)</f>
        <v>84415</v>
      </c>
      <c r="F161">
        <f>ROUND( VLOOKUP($B161,$L$5:$M$7, 2, FALSE) * (1+ VLOOKUP($A161,'vomcost mult'!$N$10:$R$32,5, FALSE)), 2)</f>
        <v>1.1100000000000001</v>
      </c>
      <c r="G161" s="73" t="str">
        <f t="shared" ca="1" si="2"/>
        <v>replace</v>
      </c>
    </row>
    <row r="162" spans="1:7">
      <c r="A162" t="s">
        <v>118</v>
      </c>
      <c r="B162" t="s">
        <v>216</v>
      </c>
      <c r="C162" s="19" t="s">
        <v>272</v>
      </c>
      <c r="D162" s="19">
        <v>2030</v>
      </c>
      <c r="E162">
        <f ca="1">ROUND(VLOOKUP($A162,    'VRE summary'!$B$25:$AD$46,    MATCH($D162, 'VRE summary'!$B$1:$AD$1, 0), FALSE), 0)</f>
        <v>943</v>
      </c>
      <c r="F162">
        <f>ROUND( VLOOKUP($B162,$L$5:$M$7, 2, FALSE) * (1+ VLOOKUP($A162,'vomcost mult'!$N$10:$R$32,5, FALSE)), 2)</f>
        <v>1.25</v>
      </c>
      <c r="G162" s="73" t="str">
        <f t="shared" ca="1" si="2"/>
        <v>replace</v>
      </c>
    </row>
    <row r="163" spans="1:7">
      <c r="A163" t="s">
        <v>119</v>
      </c>
      <c r="B163" t="s">
        <v>216</v>
      </c>
      <c r="C163" s="19" t="s">
        <v>272</v>
      </c>
      <c r="D163" s="19">
        <v>2030</v>
      </c>
      <c r="E163">
        <f ca="1">ROUND(VLOOKUP($A163,    'VRE summary'!$B$25:$AD$46,    MATCH($D163, 'VRE summary'!$B$1:$AD$1, 0), FALSE), 0)</f>
        <v>5022</v>
      </c>
      <c r="F163">
        <f>ROUND( VLOOKUP($B163,$L$5:$M$7, 2, FALSE) * (1+ VLOOKUP($A163,'vomcost mult'!$N$10:$R$32,5, FALSE)), 2)</f>
        <v>1.24</v>
      </c>
      <c r="G163" s="73" t="str">
        <f t="shared" ca="1" si="2"/>
        <v>replace</v>
      </c>
    </row>
    <row r="164" spans="1:7">
      <c r="A164" t="s">
        <v>120</v>
      </c>
      <c r="B164" t="s">
        <v>216</v>
      </c>
      <c r="C164" s="19" t="s">
        <v>272</v>
      </c>
      <c r="D164" s="19">
        <v>2030</v>
      </c>
      <c r="E164">
        <f ca="1">ROUND(VLOOKUP($A164,    'VRE summary'!$B$25:$AD$46,    MATCH($D164, 'VRE summary'!$B$1:$AD$1, 0), FALSE), 0)</f>
        <v>962</v>
      </c>
      <c r="F164">
        <f>ROUND( VLOOKUP($B164,$L$5:$M$7, 2, FALSE) * (1+ VLOOKUP($A164,'vomcost mult'!$N$10:$R$32,5, FALSE)), 2)</f>
        <v>0.8</v>
      </c>
      <c r="G164" s="73" t="str">
        <f t="shared" ca="1" si="2"/>
        <v>replace</v>
      </c>
    </row>
    <row r="165" spans="1:7">
      <c r="A165" t="s">
        <v>121</v>
      </c>
      <c r="B165" t="s">
        <v>216</v>
      </c>
      <c r="C165" s="19" t="s">
        <v>272</v>
      </c>
      <c r="D165" s="19">
        <v>2030</v>
      </c>
      <c r="E165">
        <f ca="1">ROUND(VLOOKUP($A165,    'VRE summary'!$B$25:$AD$46,    MATCH($D165, 'VRE summary'!$B$1:$AD$1, 0), FALSE), 0)</f>
        <v>37614</v>
      </c>
      <c r="F165">
        <f>ROUND( VLOOKUP($B165,$L$5:$M$7, 2, FALSE) * (1+ VLOOKUP($A165,'vomcost mult'!$N$10:$R$32,5, FALSE)), 2)</f>
        <v>0.92</v>
      </c>
      <c r="G165" s="73" t="str">
        <f t="shared" ca="1" si="2"/>
        <v>replace</v>
      </c>
    </row>
    <row r="166" spans="1:7">
      <c r="A166" t="s">
        <v>122</v>
      </c>
      <c r="B166" t="s">
        <v>216</v>
      </c>
      <c r="C166" s="19" t="s">
        <v>272</v>
      </c>
      <c r="D166" s="19">
        <v>2030</v>
      </c>
      <c r="E166">
        <f ca="1">ROUND(VLOOKUP($A166,    'VRE summary'!$B$25:$AD$46,    MATCH($D166, 'VRE summary'!$B$1:$AD$1, 0), FALSE), 0)</f>
        <v>14092</v>
      </c>
      <c r="F166">
        <f>ROUND( VLOOKUP($B166,$L$5:$M$7, 2, FALSE) * (1+ VLOOKUP($A166,'vomcost mult'!$N$10:$R$32,5, FALSE)), 2)</f>
        <v>1.1100000000000001</v>
      </c>
      <c r="G166" s="73" t="str">
        <f t="shared" ca="1" si="2"/>
        <v>replace</v>
      </c>
    </row>
    <row r="167" spans="1:7">
      <c r="A167" t="s">
        <v>123</v>
      </c>
      <c r="B167" t="s">
        <v>216</v>
      </c>
      <c r="C167" s="19" t="s">
        <v>272</v>
      </c>
      <c r="D167" s="19">
        <v>2030</v>
      </c>
      <c r="E167">
        <f ca="1">ROUND(VLOOKUP($A167,    'VRE summary'!$B$25:$AD$46,    MATCH($D167, 'VRE summary'!$B$1:$AD$1, 0), FALSE), 0)</f>
        <v>30832</v>
      </c>
      <c r="F167">
        <f>ROUND( VLOOKUP($B167,$L$5:$M$7, 2, FALSE) * (1+ VLOOKUP($A167,'vomcost mult'!$N$10:$R$32,5, FALSE)), 2)</f>
        <v>1.05</v>
      </c>
      <c r="G167" s="73" t="str">
        <f t="shared" ca="1" si="2"/>
        <v>replace</v>
      </c>
    </row>
    <row r="168" spans="1:7">
      <c r="A168" t="s">
        <v>124</v>
      </c>
      <c r="B168" t="s">
        <v>216</v>
      </c>
      <c r="C168" s="19" t="s">
        <v>272</v>
      </c>
      <c r="D168" s="19">
        <v>2030</v>
      </c>
      <c r="E168">
        <f ca="1">ROUND(VLOOKUP($A168,    'VRE summary'!$B$25:$AD$46,    MATCH($D168, 'VRE summary'!$B$1:$AD$1, 0), FALSE), 0)</f>
        <v>2860</v>
      </c>
      <c r="F168">
        <f>ROUND( VLOOKUP($B168,$L$5:$M$7, 2, FALSE) * (1+ VLOOKUP($A168,'vomcost mult'!$N$10:$R$32,5, FALSE)), 2)</f>
        <v>0.77</v>
      </c>
      <c r="G168" s="73" t="str">
        <f t="shared" ca="1" si="2"/>
        <v>replace</v>
      </c>
    </row>
    <row r="169" spans="1:7">
      <c r="A169" t="s">
        <v>125</v>
      </c>
      <c r="B169" t="s">
        <v>216</v>
      </c>
      <c r="C169" s="19" t="s">
        <v>272</v>
      </c>
      <c r="D169" s="19">
        <v>2030</v>
      </c>
      <c r="E169">
        <f ca="1">ROUND(VLOOKUP($A169,    'VRE summary'!$B$25:$AD$46,    MATCH($D169, 'VRE summary'!$B$1:$AD$1, 0), FALSE), 0)</f>
        <v>223</v>
      </c>
      <c r="F169">
        <f>ROUND( VLOOKUP($B169,$L$5:$M$7, 2, FALSE) * (1+ VLOOKUP($A169,'vomcost mult'!$N$10:$R$32,5, FALSE)), 2)</f>
        <v>0.7</v>
      </c>
      <c r="G169" s="73" t="str">
        <f t="shared" ca="1" si="2"/>
        <v>replace</v>
      </c>
    </row>
    <row r="170" spans="1:7">
      <c r="A170" t="s">
        <v>126</v>
      </c>
      <c r="B170" t="s">
        <v>216</v>
      </c>
      <c r="C170" s="19" t="s">
        <v>272</v>
      </c>
      <c r="D170" s="19">
        <v>2030</v>
      </c>
      <c r="E170">
        <f ca="1">ROUND(VLOOKUP($A170,    'VRE summary'!$B$25:$AD$46,    MATCH($D170, 'VRE summary'!$B$1:$AD$1, 0), FALSE), 0)</f>
        <v>11017</v>
      </c>
      <c r="F170">
        <f>ROUND( VLOOKUP($B170,$L$5:$M$7, 2, FALSE) * (1+ VLOOKUP($A170,'vomcost mult'!$N$10:$R$32,5, FALSE)), 2)</f>
        <v>1.18</v>
      </c>
      <c r="G170" s="73" t="str">
        <f t="shared" ca="1" si="2"/>
        <v>replace</v>
      </c>
    </row>
    <row r="171" spans="1:7">
      <c r="A171" t="s">
        <v>127</v>
      </c>
      <c r="B171" t="s">
        <v>216</v>
      </c>
      <c r="C171" s="19" t="s">
        <v>272</v>
      </c>
      <c r="D171" s="19">
        <v>2030</v>
      </c>
      <c r="E171">
        <f ca="1">ROUND(VLOOKUP($A171,    'VRE summary'!$B$25:$AD$46,    MATCH($D171, 'VRE summary'!$B$1:$AD$1, 0), FALSE), 0)</f>
        <v>3480</v>
      </c>
      <c r="F171">
        <f>ROUND( VLOOKUP($B171,$L$5:$M$7, 2, FALSE) * (1+ VLOOKUP($A171,'vomcost mult'!$N$10:$R$32,5, FALSE)), 2)</f>
        <v>1.31</v>
      </c>
      <c r="G171" s="73" t="str">
        <f t="shared" ca="1" si="2"/>
        <v>replace</v>
      </c>
    </row>
    <row r="172" spans="1:7">
      <c r="A172" t="s">
        <v>128</v>
      </c>
      <c r="B172" t="s">
        <v>216</v>
      </c>
      <c r="C172" s="19" t="s">
        <v>272</v>
      </c>
      <c r="D172" s="19">
        <v>2030</v>
      </c>
      <c r="E172">
        <f ca="1">ROUND(VLOOKUP($A172,    'VRE summary'!$B$25:$AD$46,    MATCH($D172, 'VRE summary'!$B$1:$AD$1, 0), FALSE), 0)</f>
        <v>1590</v>
      </c>
      <c r="F172">
        <f>ROUND( VLOOKUP($B172,$L$5:$M$7, 2, FALSE) * (1+ VLOOKUP($A172,'vomcost mult'!$N$10:$R$32,5, FALSE)), 2)</f>
        <v>1.33</v>
      </c>
      <c r="G172" s="73" t="str">
        <f t="shared" ca="1" si="2"/>
        <v>replace</v>
      </c>
    </row>
    <row r="173" spans="1:7">
      <c r="A173" t="s">
        <v>129</v>
      </c>
      <c r="B173" t="s">
        <v>216</v>
      </c>
      <c r="C173" s="19" t="s">
        <v>272</v>
      </c>
      <c r="D173" s="19">
        <v>2030</v>
      </c>
      <c r="E173">
        <f ca="1">ROUND(VLOOKUP($A173,    'VRE summary'!$B$25:$AD$46,    MATCH($D173, 'VRE summary'!$B$1:$AD$1, 0), FALSE), 0)</f>
        <v>3216</v>
      </c>
      <c r="F173">
        <f>ROUND( VLOOKUP($B173,$L$5:$M$7, 2, FALSE) * (1+ VLOOKUP($A173,'vomcost mult'!$N$10:$R$32,5, FALSE)), 2)</f>
        <v>1.3</v>
      </c>
      <c r="G173" s="73" t="str">
        <f t="shared" ca="1" si="2"/>
        <v>replace</v>
      </c>
    </row>
    <row r="174" spans="1:7">
      <c r="A174" t="s">
        <v>130</v>
      </c>
      <c r="B174" t="s">
        <v>216</v>
      </c>
      <c r="C174" s="19" t="s">
        <v>272</v>
      </c>
      <c r="D174" s="19">
        <v>2030</v>
      </c>
      <c r="E174">
        <f ca="1">ROUND(VLOOKUP($A174,    'VRE summary'!$B$25:$AD$46,    MATCH($D174, 'VRE summary'!$B$1:$AD$1, 0), FALSE), 0)</f>
        <v>13943</v>
      </c>
      <c r="F174">
        <f>ROUND( VLOOKUP($B174,$L$5:$M$7, 2, FALSE) * (1+ VLOOKUP($A174,'vomcost mult'!$N$10:$R$32,5, FALSE)), 2)</f>
        <v>0.69</v>
      </c>
      <c r="G174" s="73" t="str">
        <f t="shared" ca="1" si="2"/>
        <v>replace</v>
      </c>
    </row>
    <row r="175" spans="1:7">
      <c r="A175" t="s">
        <v>131</v>
      </c>
      <c r="B175" t="s">
        <v>216</v>
      </c>
      <c r="C175" s="19" t="s">
        <v>272</v>
      </c>
      <c r="D175" s="19">
        <v>2030</v>
      </c>
      <c r="E175">
        <f ca="1">ROUND(VLOOKUP($A175,    'VRE summary'!$B$25:$AD$46,    MATCH($D175, 'VRE summary'!$B$1:$AD$1, 0), FALSE), 0)</f>
        <v>5289</v>
      </c>
      <c r="F175">
        <f>ROUND( VLOOKUP($B175,$L$5:$M$7, 2, FALSE) * (1+ VLOOKUP($A175,'vomcost mult'!$N$10:$R$32,5, FALSE)), 2)</f>
        <v>1.18</v>
      </c>
      <c r="G175" s="73" t="str">
        <f t="shared" ca="1" si="2"/>
        <v>replace</v>
      </c>
    </row>
    <row r="176" spans="1:7">
      <c r="A176" t="s">
        <v>132</v>
      </c>
      <c r="B176" t="s">
        <v>216</v>
      </c>
      <c r="C176" s="19" t="s">
        <v>272</v>
      </c>
      <c r="D176" s="19">
        <v>2030</v>
      </c>
      <c r="E176">
        <f ca="1">ROUND(VLOOKUP($A176,    'VRE summary'!$B$25:$AD$46,    MATCH($D176, 'VRE summary'!$B$1:$AD$1, 0), FALSE), 0)</f>
        <v>12231</v>
      </c>
      <c r="F176">
        <f>ROUND( VLOOKUP($B176,$L$5:$M$7, 2, FALSE) * (1+ VLOOKUP($A176,'vomcost mult'!$N$10:$R$32,5, FALSE)), 2)</f>
        <v>1.17</v>
      </c>
      <c r="G176" s="73" t="str">
        <f t="shared" ca="1" si="2"/>
        <v>replace</v>
      </c>
    </row>
    <row r="177" spans="1:7">
      <c r="A177" t="s">
        <v>133</v>
      </c>
      <c r="B177" t="s">
        <v>216</v>
      </c>
      <c r="C177" s="19" t="s">
        <v>272</v>
      </c>
      <c r="D177" s="19">
        <v>2030</v>
      </c>
      <c r="E177">
        <f ca="1">ROUND(VLOOKUP($A177,    'VRE summary'!$B$25:$AD$46,    MATCH($D177, 'VRE summary'!$B$1:$AD$1, 0), FALSE), 0)</f>
        <v>5714</v>
      </c>
      <c r="F177">
        <f>ROUND( VLOOKUP($B177,$L$5:$M$7, 2, FALSE) * (1+ VLOOKUP($A177,'vomcost mult'!$N$10:$R$32,5, FALSE)), 2)</f>
        <v>1.17</v>
      </c>
      <c r="G177" s="73" t="str">
        <f t="shared" ca="1" si="2"/>
        <v>replace</v>
      </c>
    </row>
    <row r="178" spans="1:7">
      <c r="A178" t="s">
        <v>134</v>
      </c>
      <c r="B178" t="s">
        <v>216</v>
      </c>
      <c r="C178" s="19" t="s">
        <v>272</v>
      </c>
      <c r="D178" s="19">
        <v>2030</v>
      </c>
      <c r="E178">
        <f ca="1">ROUND(VLOOKUP($A178,    'VRE summary'!$B$25:$AD$46,    MATCH($D178, 'VRE summary'!$B$1:$AD$1, 0), FALSE), 0)</f>
        <v>3283</v>
      </c>
      <c r="F178">
        <f>ROUND( VLOOKUP($B178,$L$5:$M$7, 2, FALSE) * (1+ VLOOKUP($A178,'vomcost mult'!$N$10:$R$32,5, FALSE)), 2)</f>
        <v>1.1599999999999999</v>
      </c>
      <c r="G178" s="73" t="str">
        <f t="shared" ca="1" si="2"/>
        <v>replace</v>
      </c>
    </row>
    <row r="179" spans="1:7">
      <c r="A179" t="s">
        <v>135</v>
      </c>
      <c r="B179" t="s">
        <v>216</v>
      </c>
      <c r="C179" s="19" t="s">
        <v>272</v>
      </c>
      <c r="D179" s="19">
        <v>2030</v>
      </c>
      <c r="E179">
        <f ca="1">ROUND(VLOOKUP($A179,    'VRE summary'!$B$25:$AD$46,    MATCH($D179, 'VRE summary'!$B$1:$AD$1, 0), FALSE), 0)</f>
        <v>19388</v>
      </c>
      <c r="F179">
        <f>ROUND( VLOOKUP($B179,$L$5:$M$7, 2, FALSE) * (1+ VLOOKUP($A179,'vomcost mult'!$N$10:$R$32,5, FALSE)), 2)</f>
        <v>1.17</v>
      </c>
      <c r="G179" s="73" t="str">
        <f t="shared" ca="1" si="2"/>
        <v>replace</v>
      </c>
    </row>
    <row r="180" spans="1:7">
      <c r="A180" s="17" t="s">
        <v>360</v>
      </c>
      <c r="C180" s="19"/>
      <c r="D180" s="19"/>
      <c r="G180" s="73"/>
    </row>
    <row r="181" spans="1:7">
      <c r="A181" t="s">
        <v>111</v>
      </c>
      <c r="B181" t="s">
        <v>215</v>
      </c>
      <c r="C181" s="19" t="s">
        <v>272</v>
      </c>
      <c r="D181" s="19">
        <v>2015</v>
      </c>
      <c r="E181">
        <f ca="1">ROUND(VLOOKUP($A181,    'VRE summary'!$B$48:$AD$69,    MATCH($D181, 'VRE summary'!$B$1:$AD$1, 0), FALSE), 0)</f>
        <v>0</v>
      </c>
      <c r="F181">
        <f>ROUND( VLOOKUP($B181,$L$5:$M$7, 2, FALSE) * (1+ VLOOKUP($A181,'vomcost mult'!$N$10:$R$32,5, FALSE)), 2)</f>
        <v>1.69</v>
      </c>
      <c r="G181" s="73" t="str">
        <f t="shared" ca="1" si="2"/>
        <v>remove</v>
      </c>
    </row>
    <row r="182" spans="1:7">
      <c r="A182" t="s">
        <v>114</v>
      </c>
      <c r="B182" t="s">
        <v>215</v>
      </c>
      <c r="C182" s="19" t="s">
        <v>272</v>
      </c>
      <c r="D182" s="19">
        <v>2015</v>
      </c>
      <c r="E182">
        <f ca="1">ROUND(VLOOKUP($A182,    'VRE summary'!$B$48:$AD$69,    MATCH($D182, 'VRE summary'!$B$1:$AD$1, 0), FALSE), 0)</f>
        <v>712</v>
      </c>
      <c r="F182">
        <f>ROUND( VLOOKUP($B182,$L$5:$M$7, 2, FALSE) * (1+ VLOOKUP($A182,'vomcost mult'!$N$10:$R$32,5, FALSE)), 2)</f>
        <v>1.68</v>
      </c>
      <c r="G182" s="73" t="str">
        <f t="shared" ca="1" si="2"/>
        <v>replace</v>
      </c>
    </row>
    <row r="183" spans="1:7">
      <c r="A183" t="s">
        <v>116</v>
      </c>
      <c r="B183" t="s">
        <v>215</v>
      </c>
      <c r="C183" s="19" t="s">
        <v>272</v>
      </c>
      <c r="D183" s="19">
        <v>2015</v>
      </c>
      <c r="E183">
        <f ca="1">ROUND(VLOOKUP($A183,    'VRE summary'!$B$48:$AD$69,    MATCH($D183, 'VRE summary'!$B$1:$AD$1, 0), FALSE), 0)</f>
        <v>0</v>
      </c>
      <c r="F183">
        <f>ROUND( VLOOKUP($B183,$L$5:$M$7, 2, FALSE) * (1+ VLOOKUP($A183,'vomcost mult'!$N$10:$R$32,5, FALSE)), 2)</f>
        <v>2.1800000000000002</v>
      </c>
      <c r="G183" s="73" t="str">
        <f t="shared" ca="1" si="2"/>
        <v>remove</v>
      </c>
    </row>
    <row r="184" spans="1:7">
      <c r="A184" t="s">
        <v>117</v>
      </c>
      <c r="B184" t="s">
        <v>215</v>
      </c>
      <c r="C184" s="19" t="s">
        <v>272</v>
      </c>
      <c r="D184" s="19">
        <v>2015</v>
      </c>
      <c r="E184">
        <f ca="1">ROUND(VLOOKUP($A184,    'VRE summary'!$B$48:$AD$69,    MATCH($D184, 'VRE summary'!$B$1:$AD$1, 0), FALSE), 0)</f>
        <v>3295</v>
      </c>
      <c r="F184">
        <f>ROUND( VLOOKUP($B184,$L$5:$M$7, 2, FALSE) * (1+ VLOOKUP($A184,'vomcost mult'!$N$10:$R$32,5, FALSE)), 2)</f>
        <v>1.66</v>
      </c>
      <c r="G184" s="73" t="str">
        <f t="shared" ca="1" si="2"/>
        <v>replace</v>
      </c>
    </row>
    <row r="185" spans="1:7">
      <c r="A185" t="s">
        <v>118</v>
      </c>
      <c r="B185" t="s">
        <v>215</v>
      </c>
      <c r="C185" s="19" t="s">
        <v>272</v>
      </c>
      <c r="D185" s="19">
        <v>2015</v>
      </c>
      <c r="E185">
        <f ca="1">ROUND(VLOOKUP($A185,    'VRE summary'!$B$48:$AD$69,    MATCH($D185, 'VRE summary'!$B$1:$AD$1, 0), FALSE), 0)</f>
        <v>852</v>
      </c>
      <c r="F185">
        <f>ROUND( VLOOKUP($B185,$L$5:$M$7, 2, FALSE) * (1+ VLOOKUP($A185,'vomcost mult'!$N$10:$R$32,5, FALSE)), 2)</f>
        <v>1.88</v>
      </c>
      <c r="G185" s="73" t="str">
        <f t="shared" ca="1" si="2"/>
        <v>replace</v>
      </c>
    </row>
    <row r="186" spans="1:7">
      <c r="A186" t="s">
        <v>119</v>
      </c>
      <c r="B186" t="s">
        <v>215</v>
      </c>
      <c r="C186" s="19" t="s">
        <v>272</v>
      </c>
      <c r="D186" s="19">
        <v>2015</v>
      </c>
      <c r="E186">
        <f ca="1">ROUND(VLOOKUP($A186,    'VRE summary'!$B$48:$AD$69,    MATCH($D186, 'VRE summary'!$B$1:$AD$1, 0), FALSE), 0)</f>
        <v>419</v>
      </c>
      <c r="F186">
        <f>ROUND( VLOOKUP($B186,$L$5:$M$7, 2, FALSE) * (1+ VLOOKUP($A186,'vomcost mult'!$N$10:$R$32,5, FALSE)), 2)</f>
        <v>1.86</v>
      </c>
      <c r="G186" s="73" t="str">
        <f t="shared" ca="1" si="2"/>
        <v>replace</v>
      </c>
    </row>
    <row r="187" spans="1:7">
      <c r="A187" t="s">
        <v>120</v>
      </c>
      <c r="B187" t="s">
        <v>215</v>
      </c>
      <c r="C187" s="19" t="s">
        <v>272</v>
      </c>
      <c r="D187" s="19">
        <v>2015</v>
      </c>
      <c r="E187">
        <f ca="1">ROUND(VLOOKUP($A187,    'VRE summary'!$B$48:$AD$69,    MATCH($D187, 'VRE summary'!$B$1:$AD$1, 0), FALSE), 0)</f>
        <v>0</v>
      </c>
      <c r="F187">
        <f>ROUND( VLOOKUP($B187,$L$5:$M$7, 2, FALSE) * (1+ VLOOKUP($A187,'vomcost mult'!$N$10:$R$32,5, FALSE)), 2)</f>
        <v>1.19</v>
      </c>
      <c r="G187" s="73" t="str">
        <f t="shared" ca="1" si="2"/>
        <v>remove</v>
      </c>
    </row>
    <row r="188" spans="1:7">
      <c r="A188" t="s">
        <v>121</v>
      </c>
      <c r="B188" t="s">
        <v>215</v>
      </c>
      <c r="C188" s="19" t="s">
        <v>272</v>
      </c>
      <c r="D188" s="19">
        <v>2015</v>
      </c>
      <c r="E188">
        <f ca="1">ROUND(VLOOKUP($A188,    'VRE summary'!$B$48:$AD$69,    MATCH($D188, 'VRE summary'!$B$1:$AD$1, 0), FALSE), 0)</f>
        <v>5</v>
      </c>
      <c r="F188">
        <f>ROUND( VLOOKUP($B188,$L$5:$M$7, 2, FALSE) * (1+ VLOOKUP($A188,'vomcost mult'!$N$10:$R$32,5, FALSE)), 2)</f>
        <v>1.38</v>
      </c>
      <c r="G188" s="73" t="str">
        <f t="shared" ca="1" si="2"/>
        <v>replace</v>
      </c>
    </row>
    <row r="189" spans="1:7">
      <c r="A189" t="s">
        <v>122</v>
      </c>
      <c r="B189" t="s">
        <v>215</v>
      </c>
      <c r="C189" s="19" t="s">
        <v>272</v>
      </c>
      <c r="D189" s="19">
        <v>2015</v>
      </c>
      <c r="E189">
        <f ca="1">ROUND(VLOOKUP($A189,    'VRE summary'!$B$48:$AD$69,    MATCH($D189, 'VRE summary'!$B$1:$AD$1, 0), FALSE), 0)</f>
        <v>28</v>
      </c>
      <c r="F189">
        <f>ROUND( VLOOKUP($B189,$L$5:$M$7, 2, FALSE) * (1+ VLOOKUP($A189,'vomcost mult'!$N$10:$R$32,5, FALSE)), 2)</f>
        <v>1.66</v>
      </c>
      <c r="G189" s="73" t="str">
        <f t="shared" ca="1" si="2"/>
        <v>replace</v>
      </c>
    </row>
    <row r="190" spans="1:7">
      <c r="A190" t="s">
        <v>123</v>
      </c>
      <c r="B190" t="s">
        <v>215</v>
      </c>
      <c r="C190" s="19" t="s">
        <v>272</v>
      </c>
      <c r="D190" s="19">
        <v>2015</v>
      </c>
      <c r="E190">
        <f ca="1">ROUND(VLOOKUP($A190,    'VRE summary'!$B$48:$AD$69,    MATCH($D190, 'VRE summary'!$B$1:$AD$1, 0), FALSE), 0)</f>
        <v>0</v>
      </c>
      <c r="F190">
        <f>ROUND( VLOOKUP($B190,$L$5:$M$7, 2, FALSE) * (1+ VLOOKUP($A190,'vomcost mult'!$N$10:$R$32,5, FALSE)), 2)</f>
        <v>1.58</v>
      </c>
      <c r="G190" s="73" t="str">
        <f t="shared" ca="1" si="2"/>
        <v>remove</v>
      </c>
    </row>
    <row r="191" spans="1:7">
      <c r="A191" t="s">
        <v>124</v>
      </c>
      <c r="B191" t="s">
        <v>215</v>
      </c>
      <c r="C191" s="19" t="s">
        <v>272</v>
      </c>
      <c r="D191" s="19">
        <v>2015</v>
      </c>
      <c r="E191">
        <f ca="1">ROUND(VLOOKUP($A191,    'VRE summary'!$B$48:$AD$69,    MATCH($D191, 'VRE summary'!$B$1:$AD$1, 0), FALSE), 0)</f>
        <v>0</v>
      </c>
      <c r="F191">
        <f>ROUND( VLOOKUP($B191,$L$5:$M$7, 2, FALSE) * (1+ VLOOKUP($A191,'vomcost mult'!$N$10:$R$32,5, FALSE)), 2)</f>
        <v>1.1499999999999999</v>
      </c>
      <c r="G191" s="73" t="str">
        <f t="shared" ca="1" si="2"/>
        <v>remove</v>
      </c>
    </row>
    <row r="192" spans="1:7">
      <c r="A192" t="s">
        <v>125</v>
      </c>
      <c r="B192" t="s">
        <v>215</v>
      </c>
      <c r="C192" s="19" t="s">
        <v>272</v>
      </c>
      <c r="D192" s="19">
        <v>2015</v>
      </c>
      <c r="E192">
        <f ca="1">ROUND(VLOOKUP($A192,    'VRE summary'!$B$48:$AD$69,    MATCH($D192, 'VRE summary'!$B$1:$AD$1, 0), FALSE), 0)</f>
        <v>0</v>
      </c>
      <c r="F192">
        <f>ROUND( VLOOKUP($B192,$L$5:$M$7, 2, FALSE) * (1+ VLOOKUP($A192,'vomcost mult'!$N$10:$R$32,5, FALSE)), 2)</f>
        <v>1.05</v>
      </c>
      <c r="G192" s="73" t="str">
        <f t="shared" ca="1" si="2"/>
        <v>remove</v>
      </c>
    </row>
    <row r="193" spans="1:7">
      <c r="A193" t="s">
        <v>126</v>
      </c>
      <c r="B193" t="s">
        <v>215</v>
      </c>
      <c r="C193" s="19" t="s">
        <v>272</v>
      </c>
      <c r="D193" s="19">
        <v>2015</v>
      </c>
      <c r="E193">
        <f ca="1">ROUND(VLOOKUP($A193,    'VRE summary'!$B$48:$AD$69,    MATCH($D193, 'VRE summary'!$B$1:$AD$1, 0), FALSE), 0)</f>
        <v>357</v>
      </c>
      <c r="F193">
        <f>ROUND( VLOOKUP($B193,$L$5:$M$7, 2, FALSE) * (1+ VLOOKUP($A193,'vomcost mult'!$N$10:$R$32,5, FALSE)), 2)</f>
        <v>1.77</v>
      </c>
      <c r="G193" s="73" t="str">
        <f t="shared" ca="1" si="2"/>
        <v>replace</v>
      </c>
    </row>
    <row r="194" spans="1:7">
      <c r="A194" t="s">
        <v>127</v>
      </c>
      <c r="B194" t="s">
        <v>215</v>
      </c>
      <c r="C194" s="19" t="s">
        <v>272</v>
      </c>
      <c r="D194" s="19">
        <v>2015</v>
      </c>
      <c r="E194">
        <f ca="1">ROUND(VLOOKUP($A194,    'VRE summary'!$B$48:$AD$69,    MATCH($D194, 'VRE summary'!$B$1:$AD$1, 0), FALSE), 0)</f>
        <v>0</v>
      </c>
      <c r="F194">
        <f>ROUND( VLOOKUP($B194,$L$5:$M$7, 2, FALSE) * (1+ VLOOKUP($A194,'vomcost mult'!$N$10:$R$32,5, FALSE)), 2)</f>
        <v>1.97</v>
      </c>
      <c r="G194" s="73" t="str">
        <f t="shared" ca="1" si="2"/>
        <v>remove</v>
      </c>
    </row>
    <row r="195" spans="1:7">
      <c r="A195" t="s">
        <v>128</v>
      </c>
      <c r="B195" t="s">
        <v>215</v>
      </c>
      <c r="C195" s="19" t="s">
        <v>272</v>
      </c>
      <c r="D195" s="19">
        <v>2015</v>
      </c>
      <c r="E195">
        <f ca="1">ROUND(VLOOKUP($A195,    'VRE summary'!$B$48:$AD$69,    MATCH($D195, 'VRE summary'!$B$1:$AD$1, 0), FALSE), 0)</f>
        <v>0</v>
      </c>
      <c r="F195">
        <f>ROUND( VLOOKUP($B195,$L$5:$M$7, 2, FALSE) * (1+ VLOOKUP($A195,'vomcost mult'!$N$10:$R$32,5, FALSE)), 2)</f>
        <v>1.99</v>
      </c>
      <c r="G195" s="73" t="str">
        <f t="shared" ca="1" si="2"/>
        <v>remove</v>
      </c>
    </row>
    <row r="196" spans="1:7">
      <c r="A196" t="s">
        <v>129</v>
      </c>
      <c r="B196" t="s">
        <v>215</v>
      </c>
      <c r="C196" s="19" t="s">
        <v>272</v>
      </c>
      <c r="D196" s="19">
        <v>2015</v>
      </c>
      <c r="E196">
        <f ca="1">ROUND(VLOOKUP($A196,    'VRE summary'!$B$48:$AD$69,    MATCH($D196, 'VRE summary'!$B$1:$AD$1, 0), FALSE), 0)</f>
        <v>6</v>
      </c>
      <c r="F196">
        <f>ROUND( VLOOKUP($B196,$L$5:$M$7, 2, FALSE) * (1+ VLOOKUP($A196,'vomcost mult'!$N$10:$R$32,5, FALSE)), 2)</f>
        <v>1.94</v>
      </c>
      <c r="G196" s="73" t="str">
        <f t="shared" ca="1" si="2"/>
        <v>replace</v>
      </c>
    </row>
    <row r="197" spans="1:7">
      <c r="A197" t="s">
        <v>130</v>
      </c>
      <c r="B197" t="s">
        <v>215</v>
      </c>
      <c r="C197" s="19" t="s">
        <v>272</v>
      </c>
      <c r="D197" s="19">
        <v>2015</v>
      </c>
      <c r="E197">
        <f ca="1">ROUND(VLOOKUP($A197,    'VRE summary'!$B$48:$AD$69,    MATCH($D197, 'VRE summary'!$B$1:$AD$1, 0), FALSE), 0)</f>
        <v>0</v>
      </c>
      <c r="F197">
        <f>ROUND( VLOOKUP($B197,$L$5:$M$7, 2, FALSE) * (1+ VLOOKUP($A197,'vomcost mult'!$N$10:$R$32,5, FALSE)), 2)</f>
        <v>1.04</v>
      </c>
      <c r="G197" s="73" t="str">
        <f t="shared" ref="G197:G260" ca="1" si="3">IF(E197=0, "remove", "replace")</f>
        <v>remove</v>
      </c>
    </row>
    <row r="198" spans="1:7">
      <c r="A198" t="s">
        <v>131</v>
      </c>
      <c r="B198" t="s">
        <v>215</v>
      </c>
      <c r="C198" s="19" t="s">
        <v>272</v>
      </c>
      <c r="D198" s="19">
        <v>2015</v>
      </c>
      <c r="E198">
        <f ca="1">ROUND(VLOOKUP($A198,    'VRE summary'!$B$48:$AD$69,    MATCH($D198, 'VRE summary'!$B$1:$AD$1, 0), FALSE), 0)</f>
        <v>0</v>
      </c>
      <c r="F198">
        <f>ROUND( VLOOKUP($B198,$L$5:$M$7, 2, FALSE) * (1+ VLOOKUP($A198,'vomcost mult'!$N$10:$R$32,5, FALSE)), 2)</f>
        <v>1.77</v>
      </c>
      <c r="G198" s="73" t="str">
        <f t="shared" ca="1" si="3"/>
        <v>remove</v>
      </c>
    </row>
    <row r="199" spans="1:7">
      <c r="A199" t="s">
        <v>132</v>
      </c>
      <c r="B199" t="s">
        <v>215</v>
      </c>
      <c r="C199" s="19" t="s">
        <v>272</v>
      </c>
      <c r="D199" s="19">
        <v>2015</v>
      </c>
      <c r="E199">
        <f ca="1">ROUND(VLOOKUP($A199,    'VRE summary'!$B$48:$AD$69,    MATCH($D199, 'VRE summary'!$B$1:$AD$1, 0), FALSE), 0)</f>
        <v>0</v>
      </c>
      <c r="F199">
        <f>ROUND( VLOOKUP($B199,$L$5:$M$7, 2, FALSE) * (1+ VLOOKUP($A199,'vomcost mult'!$N$10:$R$32,5, FALSE)), 2)</f>
        <v>1.76</v>
      </c>
      <c r="G199" s="73" t="str">
        <f t="shared" ca="1" si="3"/>
        <v>remove</v>
      </c>
    </row>
    <row r="200" spans="1:7">
      <c r="A200" t="s">
        <v>133</v>
      </c>
      <c r="B200" t="s">
        <v>215</v>
      </c>
      <c r="C200" s="19" t="s">
        <v>272</v>
      </c>
      <c r="D200" s="19">
        <v>2015</v>
      </c>
      <c r="E200">
        <f ca="1">ROUND(VLOOKUP($A200,    'VRE summary'!$B$48:$AD$69,    MATCH($D200, 'VRE summary'!$B$1:$AD$1, 0), FALSE), 0)</f>
        <v>0</v>
      </c>
      <c r="F200">
        <f>ROUND( VLOOKUP($B200,$L$5:$M$7, 2, FALSE) * (1+ VLOOKUP($A200,'vomcost mult'!$N$10:$R$32,5, FALSE)), 2)</f>
        <v>1.75</v>
      </c>
      <c r="G200" s="73" t="str">
        <f t="shared" ca="1" si="3"/>
        <v>remove</v>
      </c>
    </row>
    <row r="201" spans="1:7">
      <c r="A201" t="s">
        <v>134</v>
      </c>
      <c r="B201" t="s">
        <v>215</v>
      </c>
      <c r="C201" s="19" t="s">
        <v>272</v>
      </c>
      <c r="D201" s="19">
        <v>2015</v>
      </c>
      <c r="E201">
        <f ca="1">ROUND(VLOOKUP($A201,    'VRE summary'!$B$48:$AD$69,    MATCH($D201, 'VRE summary'!$B$1:$AD$1, 0), FALSE), 0)</f>
        <v>202</v>
      </c>
      <c r="F201">
        <f>ROUND( VLOOKUP($B201,$L$5:$M$7, 2, FALSE) * (1+ VLOOKUP($A201,'vomcost mult'!$N$10:$R$32,5, FALSE)), 2)</f>
        <v>1.74</v>
      </c>
      <c r="G201" s="73" t="str">
        <f t="shared" ca="1" si="3"/>
        <v>replace</v>
      </c>
    </row>
    <row r="202" spans="1:7">
      <c r="A202" t="s">
        <v>135</v>
      </c>
      <c r="B202" t="s">
        <v>215</v>
      </c>
      <c r="C202" s="19" t="s">
        <v>272</v>
      </c>
      <c r="D202" s="19">
        <v>2015</v>
      </c>
      <c r="E202">
        <f ca="1">ROUND(VLOOKUP($A202,    'VRE summary'!$B$48:$AD$69,    MATCH($D202, 'VRE summary'!$B$1:$AD$1, 0), FALSE), 0)</f>
        <v>5105</v>
      </c>
      <c r="F202">
        <f>ROUND( VLOOKUP($B202,$L$5:$M$7, 2, FALSE) * (1+ VLOOKUP($A202,'vomcost mult'!$N$10:$R$32,5, FALSE)), 2)</f>
        <v>1.75</v>
      </c>
      <c r="G202" s="73" t="str">
        <f t="shared" ca="1" si="3"/>
        <v>replace</v>
      </c>
    </row>
    <row r="203" spans="1:7">
      <c r="A203" t="s">
        <v>111</v>
      </c>
      <c r="B203" t="s">
        <v>215</v>
      </c>
      <c r="C203" s="19" t="s">
        <v>272</v>
      </c>
      <c r="D203" s="19">
        <v>2020</v>
      </c>
      <c r="E203">
        <f ca="1">ROUND(VLOOKUP($A203,    'VRE summary'!$B$48:$AD$69,    MATCH($D203, 'VRE summary'!$B$1:$AD$1, 0), FALSE), 0)</f>
        <v>0</v>
      </c>
      <c r="F203">
        <f>ROUND( VLOOKUP($B203,$L$5:$M$7, 2, FALSE) * (1+ VLOOKUP($A203,'vomcost mult'!$N$10:$R$32,5, FALSE)), 2)</f>
        <v>1.69</v>
      </c>
      <c r="G203" s="73" t="str">
        <f t="shared" ca="1" si="3"/>
        <v>remove</v>
      </c>
    </row>
    <row r="204" spans="1:7">
      <c r="A204" t="s">
        <v>114</v>
      </c>
      <c r="B204" t="s">
        <v>215</v>
      </c>
      <c r="C204" s="19" t="s">
        <v>272</v>
      </c>
      <c r="D204" s="19">
        <v>2020</v>
      </c>
      <c r="E204">
        <f ca="1">ROUND(VLOOKUP($A204,    'VRE summary'!$B$48:$AD$69,    MATCH($D204, 'VRE summary'!$B$1:$AD$1, 0), FALSE), 0)</f>
        <v>2262</v>
      </c>
      <c r="F204">
        <f>ROUND( VLOOKUP($B204,$L$5:$M$7, 2, FALSE) * (1+ VLOOKUP($A204,'vomcost mult'!$N$10:$R$32,5, FALSE)), 2)</f>
        <v>1.68</v>
      </c>
      <c r="G204" s="73" t="str">
        <f t="shared" ca="1" si="3"/>
        <v>replace</v>
      </c>
    </row>
    <row r="205" spans="1:7">
      <c r="A205" t="s">
        <v>116</v>
      </c>
      <c r="B205" t="s">
        <v>215</v>
      </c>
      <c r="C205" s="19" t="s">
        <v>272</v>
      </c>
      <c r="D205" s="19">
        <v>2020</v>
      </c>
      <c r="E205">
        <f ca="1">ROUND(VLOOKUP($A205,    'VRE summary'!$B$48:$AD$69,    MATCH($D205, 'VRE summary'!$B$1:$AD$1, 0), FALSE), 0)</f>
        <v>0</v>
      </c>
      <c r="F205">
        <f>ROUND( VLOOKUP($B205,$L$5:$M$7, 2, FALSE) * (1+ VLOOKUP($A205,'vomcost mult'!$N$10:$R$32,5, FALSE)), 2)</f>
        <v>2.1800000000000002</v>
      </c>
      <c r="G205" s="73" t="str">
        <f t="shared" ca="1" si="3"/>
        <v>remove</v>
      </c>
    </row>
    <row r="206" spans="1:7">
      <c r="A206" t="s">
        <v>117</v>
      </c>
      <c r="B206" t="s">
        <v>215</v>
      </c>
      <c r="C206" s="19" t="s">
        <v>272</v>
      </c>
      <c r="D206" s="19">
        <v>2020</v>
      </c>
      <c r="E206">
        <f ca="1">ROUND(VLOOKUP($A206,    'VRE summary'!$B$48:$AD$69,    MATCH($D206, 'VRE summary'!$B$1:$AD$1, 0), FALSE), 0)</f>
        <v>7774</v>
      </c>
      <c r="F206">
        <f>ROUND( VLOOKUP($B206,$L$5:$M$7, 2, FALSE) * (1+ VLOOKUP($A206,'vomcost mult'!$N$10:$R$32,5, FALSE)), 2)</f>
        <v>1.66</v>
      </c>
      <c r="G206" s="73" t="str">
        <f t="shared" ca="1" si="3"/>
        <v>replace</v>
      </c>
    </row>
    <row r="207" spans="1:7">
      <c r="A207" t="s">
        <v>118</v>
      </c>
      <c r="B207" t="s">
        <v>215</v>
      </c>
      <c r="C207" s="19" t="s">
        <v>272</v>
      </c>
      <c r="D207" s="19">
        <v>2020</v>
      </c>
      <c r="E207">
        <f ca="1">ROUND(VLOOKUP($A207,    'VRE summary'!$B$48:$AD$69,    MATCH($D207, 'VRE summary'!$B$1:$AD$1, 0), FALSE), 0)</f>
        <v>1140</v>
      </c>
      <c r="F207">
        <f>ROUND( VLOOKUP($B207,$L$5:$M$7, 2, FALSE) * (1+ VLOOKUP($A207,'vomcost mult'!$N$10:$R$32,5, FALSE)), 2)</f>
        <v>1.88</v>
      </c>
      <c r="G207" s="73" t="str">
        <f t="shared" ca="1" si="3"/>
        <v>replace</v>
      </c>
    </row>
    <row r="208" spans="1:7">
      <c r="A208" t="s">
        <v>119</v>
      </c>
      <c r="B208" t="s">
        <v>215</v>
      </c>
      <c r="C208" s="19" t="s">
        <v>272</v>
      </c>
      <c r="D208" s="19">
        <v>2020</v>
      </c>
      <c r="E208">
        <f ca="1">ROUND(VLOOKUP($A208,    'VRE summary'!$B$48:$AD$69,    MATCH($D208, 'VRE summary'!$B$1:$AD$1, 0), FALSE), 0)</f>
        <v>561</v>
      </c>
      <c r="F208">
        <f>ROUND( VLOOKUP($B208,$L$5:$M$7, 2, FALSE) * (1+ VLOOKUP($A208,'vomcost mult'!$N$10:$R$32,5, FALSE)), 2)</f>
        <v>1.86</v>
      </c>
      <c r="G208" s="73" t="str">
        <f t="shared" ca="1" si="3"/>
        <v>replace</v>
      </c>
    </row>
    <row r="209" spans="1:7">
      <c r="A209" t="s">
        <v>120</v>
      </c>
      <c r="B209" t="s">
        <v>215</v>
      </c>
      <c r="C209" s="19" t="s">
        <v>272</v>
      </c>
      <c r="D209" s="19">
        <v>2020</v>
      </c>
      <c r="E209">
        <f ca="1">ROUND(VLOOKUP($A209,    'VRE summary'!$B$48:$AD$69,    MATCH($D209, 'VRE summary'!$B$1:$AD$1, 0), FALSE), 0)</f>
        <v>0</v>
      </c>
      <c r="F209">
        <f>ROUND( VLOOKUP($B209,$L$5:$M$7, 2, FALSE) * (1+ VLOOKUP($A209,'vomcost mult'!$N$10:$R$32,5, FALSE)), 2)</f>
        <v>1.19</v>
      </c>
      <c r="G209" s="73" t="str">
        <f t="shared" ca="1" si="3"/>
        <v>remove</v>
      </c>
    </row>
    <row r="210" spans="1:7">
      <c r="A210" t="s">
        <v>121</v>
      </c>
      <c r="B210" t="s">
        <v>215</v>
      </c>
      <c r="C210" s="19" t="s">
        <v>272</v>
      </c>
      <c r="D210" s="19">
        <v>2020</v>
      </c>
      <c r="E210">
        <f ca="1">ROUND(VLOOKUP($A210,    'VRE summary'!$B$48:$AD$69,    MATCH($D210, 'VRE summary'!$B$1:$AD$1, 0), FALSE), 0)</f>
        <v>0</v>
      </c>
      <c r="F210">
        <f>ROUND( VLOOKUP($B210,$L$5:$M$7, 2, FALSE) * (1+ VLOOKUP($A210,'vomcost mult'!$N$10:$R$32,5, FALSE)), 2)</f>
        <v>1.38</v>
      </c>
      <c r="G210" s="73" t="str">
        <f t="shared" ca="1" si="3"/>
        <v>remove</v>
      </c>
    </row>
    <row r="211" spans="1:7">
      <c r="A211" t="s">
        <v>122</v>
      </c>
      <c r="B211" t="s">
        <v>215</v>
      </c>
      <c r="C211" s="19" t="s">
        <v>272</v>
      </c>
      <c r="D211" s="19">
        <v>2020</v>
      </c>
      <c r="E211">
        <f ca="1">ROUND(VLOOKUP($A211,    'VRE summary'!$B$48:$AD$69,    MATCH($D211, 'VRE summary'!$B$1:$AD$1, 0), FALSE), 0)</f>
        <v>73</v>
      </c>
      <c r="F211">
        <f>ROUND( VLOOKUP($B211,$L$5:$M$7, 2, FALSE) * (1+ VLOOKUP($A211,'vomcost mult'!$N$10:$R$32,5, FALSE)), 2)</f>
        <v>1.66</v>
      </c>
      <c r="G211" s="73" t="str">
        <f t="shared" ca="1" si="3"/>
        <v>replace</v>
      </c>
    </row>
    <row r="212" spans="1:7">
      <c r="A212" t="s">
        <v>123</v>
      </c>
      <c r="B212" t="s">
        <v>215</v>
      </c>
      <c r="C212" s="19" t="s">
        <v>272</v>
      </c>
      <c r="D212" s="19">
        <v>2020</v>
      </c>
      <c r="E212">
        <f ca="1">ROUND(VLOOKUP($A212,    'VRE summary'!$B$48:$AD$69,    MATCH($D212, 'VRE summary'!$B$1:$AD$1, 0), FALSE), 0)</f>
        <v>0</v>
      </c>
      <c r="F212">
        <f>ROUND( VLOOKUP($B212,$L$5:$M$7, 2, FALSE) * (1+ VLOOKUP($A212,'vomcost mult'!$N$10:$R$32,5, FALSE)), 2)</f>
        <v>1.58</v>
      </c>
      <c r="G212" s="73" t="str">
        <f t="shared" ca="1" si="3"/>
        <v>remove</v>
      </c>
    </row>
    <row r="213" spans="1:7">
      <c r="A213" t="s">
        <v>124</v>
      </c>
      <c r="B213" t="s">
        <v>215</v>
      </c>
      <c r="C213" s="19" t="s">
        <v>272</v>
      </c>
      <c r="D213" s="19">
        <v>2020</v>
      </c>
      <c r="E213">
        <f ca="1">ROUND(VLOOKUP($A213,    'VRE summary'!$B$48:$AD$69,    MATCH($D213, 'VRE summary'!$B$1:$AD$1, 0), FALSE), 0)</f>
        <v>0</v>
      </c>
      <c r="F213">
        <f>ROUND( VLOOKUP($B213,$L$5:$M$7, 2, FALSE) * (1+ VLOOKUP($A213,'vomcost mult'!$N$10:$R$32,5, FALSE)), 2)</f>
        <v>1.1499999999999999</v>
      </c>
      <c r="G213" s="73" t="str">
        <f t="shared" ca="1" si="3"/>
        <v>remove</v>
      </c>
    </row>
    <row r="214" spans="1:7">
      <c r="A214" t="s">
        <v>125</v>
      </c>
      <c r="B214" t="s">
        <v>215</v>
      </c>
      <c r="C214" s="19" t="s">
        <v>272</v>
      </c>
      <c r="D214" s="19">
        <v>2020</v>
      </c>
      <c r="E214">
        <f ca="1">ROUND(VLOOKUP($A214,    'VRE summary'!$B$48:$AD$69,    MATCH($D214, 'VRE summary'!$B$1:$AD$1, 0), FALSE), 0)</f>
        <v>0</v>
      </c>
      <c r="F214">
        <f>ROUND( VLOOKUP($B214,$L$5:$M$7, 2, FALSE) * (1+ VLOOKUP($A214,'vomcost mult'!$N$10:$R$32,5, FALSE)), 2)</f>
        <v>1.05</v>
      </c>
      <c r="G214" s="73" t="str">
        <f t="shared" ca="1" si="3"/>
        <v>remove</v>
      </c>
    </row>
    <row r="215" spans="1:7">
      <c r="A215" t="s">
        <v>126</v>
      </c>
      <c r="B215" t="s">
        <v>215</v>
      </c>
      <c r="C215" s="19" t="s">
        <v>272</v>
      </c>
      <c r="D215" s="19">
        <v>2020</v>
      </c>
      <c r="E215">
        <f ca="1">ROUND(VLOOKUP($A215,    'VRE summary'!$B$48:$AD$69,    MATCH($D215, 'VRE summary'!$B$1:$AD$1, 0), FALSE), 0)</f>
        <v>2460</v>
      </c>
      <c r="F215">
        <f>ROUND( VLOOKUP($B215,$L$5:$M$7, 2, FALSE) * (1+ VLOOKUP($A215,'vomcost mult'!$N$10:$R$32,5, FALSE)), 2)</f>
        <v>1.77</v>
      </c>
      <c r="G215" s="73" t="str">
        <f t="shared" ca="1" si="3"/>
        <v>replace</v>
      </c>
    </row>
    <row r="216" spans="1:7">
      <c r="A216" t="s">
        <v>127</v>
      </c>
      <c r="B216" t="s">
        <v>215</v>
      </c>
      <c r="C216" s="19" t="s">
        <v>272</v>
      </c>
      <c r="D216" s="19">
        <v>2020</v>
      </c>
      <c r="E216">
        <f ca="1">ROUND(VLOOKUP($A216,    'VRE summary'!$B$48:$AD$69,    MATCH($D216, 'VRE summary'!$B$1:$AD$1, 0), FALSE), 0)</f>
        <v>0</v>
      </c>
      <c r="F216">
        <f>ROUND( VLOOKUP($B216,$L$5:$M$7, 2, FALSE) * (1+ VLOOKUP($A216,'vomcost mult'!$N$10:$R$32,5, FALSE)), 2)</f>
        <v>1.97</v>
      </c>
      <c r="G216" s="73" t="str">
        <f t="shared" ca="1" si="3"/>
        <v>remove</v>
      </c>
    </row>
    <row r="217" spans="1:7">
      <c r="A217" t="s">
        <v>128</v>
      </c>
      <c r="B217" t="s">
        <v>215</v>
      </c>
      <c r="C217" s="19" t="s">
        <v>272</v>
      </c>
      <c r="D217" s="19">
        <v>2020</v>
      </c>
      <c r="E217">
        <f ca="1">ROUND(VLOOKUP($A217,    'VRE summary'!$B$48:$AD$69,    MATCH($D217, 'VRE summary'!$B$1:$AD$1, 0), FALSE), 0)</f>
        <v>0</v>
      </c>
      <c r="F217">
        <f>ROUND( VLOOKUP($B217,$L$5:$M$7, 2, FALSE) * (1+ VLOOKUP($A217,'vomcost mult'!$N$10:$R$32,5, FALSE)), 2)</f>
        <v>1.99</v>
      </c>
      <c r="G217" s="73" t="str">
        <f t="shared" ca="1" si="3"/>
        <v>remove</v>
      </c>
    </row>
    <row r="218" spans="1:7">
      <c r="A218" t="s">
        <v>129</v>
      </c>
      <c r="B218" t="s">
        <v>215</v>
      </c>
      <c r="C218" s="19" t="s">
        <v>272</v>
      </c>
      <c r="D218" s="19">
        <v>2020</v>
      </c>
      <c r="E218">
        <f ca="1">ROUND(VLOOKUP($A218,    'VRE summary'!$B$48:$AD$69,    MATCH($D218, 'VRE summary'!$B$1:$AD$1, 0), FALSE), 0)</f>
        <v>6</v>
      </c>
      <c r="F218">
        <f>ROUND( VLOOKUP($B218,$L$5:$M$7, 2, FALSE) * (1+ VLOOKUP($A218,'vomcost mult'!$N$10:$R$32,5, FALSE)), 2)</f>
        <v>1.94</v>
      </c>
      <c r="G218" s="73" t="str">
        <f t="shared" ca="1" si="3"/>
        <v>replace</v>
      </c>
    </row>
    <row r="219" spans="1:7">
      <c r="A219" t="s">
        <v>130</v>
      </c>
      <c r="B219" t="s">
        <v>215</v>
      </c>
      <c r="C219" s="19" t="s">
        <v>272</v>
      </c>
      <c r="D219" s="19">
        <v>2020</v>
      </c>
      <c r="E219">
        <f ca="1">ROUND(VLOOKUP($A219,    'VRE summary'!$B$48:$AD$69,    MATCH($D219, 'VRE summary'!$B$1:$AD$1, 0), FALSE), 0)</f>
        <v>0</v>
      </c>
      <c r="F219">
        <f>ROUND( VLOOKUP($B219,$L$5:$M$7, 2, FALSE) * (1+ VLOOKUP($A219,'vomcost mult'!$N$10:$R$32,5, FALSE)), 2)</f>
        <v>1.04</v>
      </c>
      <c r="G219" s="73" t="str">
        <f t="shared" ca="1" si="3"/>
        <v>remove</v>
      </c>
    </row>
    <row r="220" spans="1:7">
      <c r="A220" t="s">
        <v>131</v>
      </c>
      <c r="B220" t="s">
        <v>215</v>
      </c>
      <c r="C220" s="19" t="s">
        <v>272</v>
      </c>
      <c r="D220" s="19">
        <v>2020</v>
      </c>
      <c r="E220">
        <f ca="1">ROUND(VLOOKUP($A220,    'VRE summary'!$B$48:$AD$69,    MATCH($D220, 'VRE summary'!$B$1:$AD$1, 0), FALSE), 0)</f>
        <v>0</v>
      </c>
      <c r="F220">
        <f>ROUND( VLOOKUP($B220,$L$5:$M$7, 2, FALSE) * (1+ VLOOKUP($A220,'vomcost mult'!$N$10:$R$32,5, FALSE)), 2)</f>
        <v>1.77</v>
      </c>
      <c r="G220" s="73" t="str">
        <f t="shared" ca="1" si="3"/>
        <v>remove</v>
      </c>
    </row>
    <row r="221" spans="1:7">
      <c r="A221" t="s">
        <v>132</v>
      </c>
      <c r="B221" t="s">
        <v>215</v>
      </c>
      <c r="C221" s="19" t="s">
        <v>272</v>
      </c>
      <c r="D221" s="19">
        <v>2020</v>
      </c>
      <c r="E221">
        <f ca="1">ROUND(VLOOKUP($A221,    'VRE summary'!$B$48:$AD$69,    MATCH($D221, 'VRE summary'!$B$1:$AD$1, 0), FALSE), 0)</f>
        <v>0</v>
      </c>
      <c r="F221">
        <f>ROUND( VLOOKUP($B221,$L$5:$M$7, 2, FALSE) * (1+ VLOOKUP($A221,'vomcost mult'!$N$10:$R$32,5, FALSE)), 2)</f>
        <v>1.76</v>
      </c>
      <c r="G221" s="73" t="str">
        <f t="shared" ca="1" si="3"/>
        <v>remove</v>
      </c>
    </row>
    <row r="222" spans="1:7">
      <c r="A222" t="s">
        <v>133</v>
      </c>
      <c r="B222" t="s">
        <v>215</v>
      </c>
      <c r="C222" s="19" t="s">
        <v>272</v>
      </c>
      <c r="D222" s="19">
        <v>2020</v>
      </c>
      <c r="E222">
        <f ca="1">ROUND(VLOOKUP($A222,    'VRE summary'!$B$48:$AD$69,    MATCH($D222, 'VRE summary'!$B$1:$AD$1, 0), FALSE), 0)</f>
        <v>0</v>
      </c>
      <c r="F222">
        <f>ROUND( VLOOKUP($B222,$L$5:$M$7, 2, FALSE) * (1+ VLOOKUP($A222,'vomcost mult'!$N$10:$R$32,5, FALSE)), 2)</f>
        <v>1.75</v>
      </c>
      <c r="G222" s="73" t="str">
        <f t="shared" ca="1" si="3"/>
        <v>remove</v>
      </c>
    </row>
    <row r="223" spans="1:7">
      <c r="A223" t="s">
        <v>134</v>
      </c>
      <c r="B223" t="s">
        <v>215</v>
      </c>
      <c r="C223" s="19" t="s">
        <v>272</v>
      </c>
      <c r="D223" s="19">
        <v>2020</v>
      </c>
      <c r="E223">
        <f ca="1">ROUND(VLOOKUP($A223,    'VRE summary'!$B$48:$AD$69,    MATCH($D223, 'VRE summary'!$B$1:$AD$1, 0), FALSE), 0)</f>
        <v>203</v>
      </c>
      <c r="F223">
        <f>ROUND( VLOOKUP($B223,$L$5:$M$7, 2, FALSE) * (1+ VLOOKUP($A223,'vomcost mult'!$N$10:$R$32,5, FALSE)), 2)</f>
        <v>1.74</v>
      </c>
      <c r="G223" s="73" t="str">
        <f t="shared" ca="1" si="3"/>
        <v>replace</v>
      </c>
    </row>
    <row r="224" spans="1:7">
      <c r="A224" t="s">
        <v>135</v>
      </c>
      <c r="B224" t="s">
        <v>215</v>
      </c>
      <c r="C224" s="19" t="s">
        <v>272</v>
      </c>
      <c r="D224" s="19">
        <v>2020</v>
      </c>
      <c r="E224">
        <f ca="1">ROUND(VLOOKUP($A224,    'VRE summary'!$B$48:$AD$69,    MATCH($D224, 'VRE summary'!$B$1:$AD$1, 0), FALSE), 0)</f>
        <v>9948</v>
      </c>
      <c r="F224">
        <f>ROUND( VLOOKUP($B224,$L$5:$M$7, 2, FALSE) * (1+ VLOOKUP($A224,'vomcost mult'!$N$10:$R$32,5, FALSE)), 2)</f>
        <v>1.75</v>
      </c>
      <c r="G224" s="73" t="str">
        <f t="shared" ca="1" si="3"/>
        <v>replace</v>
      </c>
    </row>
    <row r="225" spans="1:7">
      <c r="A225" t="s">
        <v>111</v>
      </c>
      <c r="B225" t="s">
        <v>215</v>
      </c>
      <c r="C225" s="19" t="s">
        <v>272</v>
      </c>
      <c r="D225" s="19">
        <v>2025</v>
      </c>
      <c r="E225">
        <f ca="1">ROUND(VLOOKUP($A225,    'VRE summary'!$B$48:$AD$69,    MATCH($D225, 'VRE summary'!$B$1:$AD$1, 0), FALSE), 0)</f>
        <v>0</v>
      </c>
      <c r="F225">
        <f>ROUND( VLOOKUP($B225,$L$5:$M$7, 2, FALSE) * (1+ VLOOKUP($A225,'vomcost mult'!$N$10:$R$32,5, FALSE)), 2)</f>
        <v>1.69</v>
      </c>
      <c r="G225" s="73" t="str">
        <f t="shared" ca="1" si="3"/>
        <v>remove</v>
      </c>
    </row>
    <row r="226" spans="1:7">
      <c r="A226" t="s">
        <v>114</v>
      </c>
      <c r="B226" t="s">
        <v>215</v>
      </c>
      <c r="C226" s="19" t="s">
        <v>272</v>
      </c>
      <c r="D226" s="19">
        <v>2025</v>
      </c>
      <c r="E226">
        <f ca="1">ROUND(VLOOKUP($A226,    'VRE summary'!$B$48:$AD$69,    MATCH($D226, 'VRE summary'!$B$1:$AD$1, 0), FALSE), 0)</f>
        <v>2542</v>
      </c>
      <c r="F226">
        <f>ROUND( VLOOKUP($B226,$L$5:$M$7, 2, FALSE) * (1+ VLOOKUP($A226,'vomcost mult'!$N$10:$R$32,5, FALSE)), 2)</f>
        <v>1.68</v>
      </c>
      <c r="G226" s="73" t="str">
        <f t="shared" ca="1" si="3"/>
        <v>replace</v>
      </c>
    </row>
    <row r="227" spans="1:7">
      <c r="A227" t="s">
        <v>116</v>
      </c>
      <c r="B227" t="s">
        <v>215</v>
      </c>
      <c r="C227" s="19" t="s">
        <v>272</v>
      </c>
      <c r="D227" s="19">
        <v>2025</v>
      </c>
      <c r="E227">
        <f ca="1">ROUND(VLOOKUP($A227,    'VRE summary'!$B$48:$AD$69,    MATCH($D227, 'VRE summary'!$B$1:$AD$1, 0), FALSE), 0)</f>
        <v>0</v>
      </c>
      <c r="F227">
        <f>ROUND( VLOOKUP($B227,$L$5:$M$7, 2, FALSE) * (1+ VLOOKUP($A227,'vomcost mult'!$N$10:$R$32,5, FALSE)), 2)</f>
        <v>2.1800000000000002</v>
      </c>
      <c r="G227" s="73" t="str">
        <f t="shared" ca="1" si="3"/>
        <v>remove</v>
      </c>
    </row>
    <row r="228" spans="1:7">
      <c r="A228" t="s">
        <v>117</v>
      </c>
      <c r="B228" t="s">
        <v>215</v>
      </c>
      <c r="C228" s="19" t="s">
        <v>272</v>
      </c>
      <c r="D228" s="19">
        <v>2025</v>
      </c>
      <c r="E228">
        <f ca="1">ROUND(VLOOKUP($A228,    'VRE summary'!$B$48:$AD$69,    MATCH($D228, 'VRE summary'!$B$1:$AD$1, 0), FALSE), 0)</f>
        <v>9773</v>
      </c>
      <c r="F228">
        <f>ROUND( VLOOKUP($B228,$L$5:$M$7, 2, FALSE) * (1+ VLOOKUP($A228,'vomcost mult'!$N$10:$R$32,5, FALSE)), 2)</f>
        <v>1.66</v>
      </c>
      <c r="G228" s="73" t="str">
        <f t="shared" ca="1" si="3"/>
        <v>replace</v>
      </c>
    </row>
    <row r="229" spans="1:7">
      <c r="A229" t="s">
        <v>118</v>
      </c>
      <c r="B229" t="s">
        <v>215</v>
      </c>
      <c r="C229" s="19" t="s">
        <v>272</v>
      </c>
      <c r="D229" s="19">
        <v>2025</v>
      </c>
      <c r="E229">
        <f ca="1">ROUND(VLOOKUP($A229,    'VRE summary'!$B$48:$AD$69,    MATCH($D229, 'VRE summary'!$B$1:$AD$1, 0), FALSE), 0)</f>
        <v>1904</v>
      </c>
      <c r="F229">
        <f>ROUND( VLOOKUP($B229,$L$5:$M$7, 2, FALSE) * (1+ VLOOKUP($A229,'vomcost mult'!$N$10:$R$32,5, FALSE)), 2)</f>
        <v>1.88</v>
      </c>
      <c r="G229" s="73" t="str">
        <f t="shared" ca="1" si="3"/>
        <v>replace</v>
      </c>
    </row>
    <row r="230" spans="1:7">
      <c r="A230" t="s">
        <v>119</v>
      </c>
      <c r="B230" t="s">
        <v>215</v>
      </c>
      <c r="C230" s="19" t="s">
        <v>272</v>
      </c>
      <c r="D230" s="19">
        <v>2025</v>
      </c>
      <c r="E230">
        <f ca="1">ROUND(VLOOKUP($A230,    'VRE summary'!$B$48:$AD$69,    MATCH($D230, 'VRE summary'!$B$1:$AD$1, 0), FALSE), 0)</f>
        <v>937</v>
      </c>
      <c r="F230">
        <f>ROUND( VLOOKUP($B230,$L$5:$M$7, 2, FALSE) * (1+ VLOOKUP($A230,'vomcost mult'!$N$10:$R$32,5, FALSE)), 2)</f>
        <v>1.86</v>
      </c>
      <c r="G230" s="73" t="str">
        <f t="shared" ca="1" si="3"/>
        <v>replace</v>
      </c>
    </row>
    <row r="231" spans="1:7">
      <c r="A231" t="s">
        <v>120</v>
      </c>
      <c r="B231" t="s">
        <v>215</v>
      </c>
      <c r="C231" s="19" t="s">
        <v>272</v>
      </c>
      <c r="D231" s="19">
        <v>2025</v>
      </c>
      <c r="E231">
        <f ca="1">ROUND(VLOOKUP($A231,    'VRE summary'!$B$48:$AD$69,    MATCH($D231, 'VRE summary'!$B$1:$AD$1, 0), FALSE), 0)</f>
        <v>0</v>
      </c>
      <c r="F231">
        <f>ROUND( VLOOKUP($B231,$L$5:$M$7, 2, FALSE) * (1+ VLOOKUP($A231,'vomcost mult'!$N$10:$R$32,5, FALSE)), 2)</f>
        <v>1.19</v>
      </c>
      <c r="G231" s="73" t="str">
        <f t="shared" ca="1" si="3"/>
        <v>remove</v>
      </c>
    </row>
    <row r="232" spans="1:7">
      <c r="A232" t="s">
        <v>121</v>
      </c>
      <c r="B232" t="s">
        <v>215</v>
      </c>
      <c r="C232" s="19" t="s">
        <v>272</v>
      </c>
      <c r="D232" s="19">
        <v>2025</v>
      </c>
      <c r="E232">
        <f ca="1">ROUND(VLOOKUP($A232,    'VRE summary'!$B$48:$AD$69,    MATCH($D232, 'VRE summary'!$B$1:$AD$1, 0), FALSE), 0)</f>
        <v>4</v>
      </c>
      <c r="F232">
        <f>ROUND( VLOOKUP($B232,$L$5:$M$7, 2, FALSE) * (1+ VLOOKUP($A232,'vomcost mult'!$N$10:$R$32,5, FALSE)), 2)</f>
        <v>1.38</v>
      </c>
      <c r="G232" s="73" t="str">
        <f t="shared" ca="1" si="3"/>
        <v>replace</v>
      </c>
    </row>
    <row r="233" spans="1:7">
      <c r="A233" t="s">
        <v>122</v>
      </c>
      <c r="B233" t="s">
        <v>215</v>
      </c>
      <c r="C233" s="19" t="s">
        <v>272</v>
      </c>
      <c r="D233" s="19">
        <v>2025</v>
      </c>
      <c r="E233">
        <f ca="1">ROUND(VLOOKUP($A233,    'VRE summary'!$B$48:$AD$69,    MATCH($D233, 'VRE summary'!$B$1:$AD$1, 0), FALSE), 0)</f>
        <v>80</v>
      </c>
      <c r="F233">
        <f>ROUND( VLOOKUP($B233,$L$5:$M$7, 2, FALSE) * (1+ VLOOKUP($A233,'vomcost mult'!$N$10:$R$32,5, FALSE)), 2)</f>
        <v>1.66</v>
      </c>
      <c r="G233" s="73" t="str">
        <f t="shared" ca="1" si="3"/>
        <v>replace</v>
      </c>
    </row>
    <row r="234" spans="1:7">
      <c r="A234" t="s">
        <v>123</v>
      </c>
      <c r="B234" t="s">
        <v>215</v>
      </c>
      <c r="C234" s="19" t="s">
        <v>272</v>
      </c>
      <c r="D234" s="19">
        <v>2025</v>
      </c>
      <c r="E234">
        <f ca="1">ROUND(VLOOKUP($A234,    'VRE summary'!$B$48:$AD$69,    MATCH($D234, 'VRE summary'!$B$1:$AD$1, 0), FALSE), 0)</f>
        <v>1635</v>
      </c>
      <c r="F234">
        <f>ROUND( VLOOKUP($B234,$L$5:$M$7, 2, FALSE) * (1+ VLOOKUP($A234,'vomcost mult'!$N$10:$R$32,5, FALSE)), 2)</f>
        <v>1.58</v>
      </c>
      <c r="G234" s="73" t="str">
        <f t="shared" ca="1" si="3"/>
        <v>replace</v>
      </c>
    </row>
    <row r="235" spans="1:7">
      <c r="A235" t="s">
        <v>124</v>
      </c>
      <c r="B235" t="s">
        <v>215</v>
      </c>
      <c r="C235" s="19" t="s">
        <v>272</v>
      </c>
      <c r="D235" s="19">
        <v>2025</v>
      </c>
      <c r="E235">
        <f ca="1">ROUND(VLOOKUP($A235,    'VRE summary'!$B$48:$AD$69,    MATCH($D235, 'VRE summary'!$B$1:$AD$1, 0), FALSE), 0)</f>
        <v>0</v>
      </c>
      <c r="F235">
        <f>ROUND( VLOOKUP($B235,$L$5:$M$7, 2, FALSE) * (1+ VLOOKUP($A235,'vomcost mult'!$N$10:$R$32,5, FALSE)), 2)</f>
        <v>1.1499999999999999</v>
      </c>
      <c r="G235" s="73" t="str">
        <f t="shared" ca="1" si="3"/>
        <v>remove</v>
      </c>
    </row>
    <row r="236" spans="1:7">
      <c r="A236" t="s">
        <v>125</v>
      </c>
      <c r="B236" t="s">
        <v>215</v>
      </c>
      <c r="C236" s="19" t="s">
        <v>272</v>
      </c>
      <c r="D236" s="19">
        <v>2025</v>
      </c>
      <c r="E236">
        <f ca="1">ROUND(VLOOKUP($A236,    'VRE summary'!$B$48:$AD$69,    MATCH($D236, 'VRE summary'!$B$1:$AD$1, 0), FALSE), 0)</f>
        <v>0</v>
      </c>
      <c r="F236">
        <f>ROUND( VLOOKUP($B236,$L$5:$M$7, 2, FALSE) * (1+ VLOOKUP($A236,'vomcost mult'!$N$10:$R$32,5, FALSE)), 2)</f>
        <v>1.05</v>
      </c>
      <c r="G236" s="73" t="str">
        <f t="shared" ca="1" si="3"/>
        <v>remove</v>
      </c>
    </row>
    <row r="237" spans="1:7">
      <c r="A237" t="s">
        <v>126</v>
      </c>
      <c r="B237" t="s">
        <v>215</v>
      </c>
      <c r="C237" s="19" t="s">
        <v>272</v>
      </c>
      <c r="D237" s="19">
        <v>2025</v>
      </c>
      <c r="E237">
        <f ca="1">ROUND(VLOOKUP($A237,    'VRE summary'!$B$48:$AD$69,    MATCH($D237, 'VRE summary'!$B$1:$AD$1, 0), FALSE), 0)</f>
        <v>4802</v>
      </c>
      <c r="F237">
        <f>ROUND( VLOOKUP($B237,$L$5:$M$7, 2, FALSE) * (1+ VLOOKUP($A237,'vomcost mult'!$N$10:$R$32,5, FALSE)), 2)</f>
        <v>1.77</v>
      </c>
      <c r="G237" s="73" t="str">
        <f t="shared" ca="1" si="3"/>
        <v>replace</v>
      </c>
    </row>
    <row r="238" spans="1:7">
      <c r="A238" t="s">
        <v>127</v>
      </c>
      <c r="B238" t="s">
        <v>215</v>
      </c>
      <c r="C238" s="19" t="s">
        <v>272</v>
      </c>
      <c r="D238" s="19">
        <v>2025</v>
      </c>
      <c r="E238">
        <f ca="1">ROUND(VLOOKUP($A238,    'VRE summary'!$B$48:$AD$69,    MATCH($D238, 'VRE summary'!$B$1:$AD$1, 0), FALSE), 0)</f>
        <v>0</v>
      </c>
      <c r="F238">
        <f>ROUND( VLOOKUP($B238,$L$5:$M$7, 2, FALSE) * (1+ VLOOKUP($A238,'vomcost mult'!$N$10:$R$32,5, FALSE)), 2)</f>
        <v>1.97</v>
      </c>
      <c r="G238" s="73" t="str">
        <f t="shared" ca="1" si="3"/>
        <v>remove</v>
      </c>
    </row>
    <row r="239" spans="1:7">
      <c r="A239" t="s">
        <v>128</v>
      </c>
      <c r="B239" t="s">
        <v>215</v>
      </c>
      <c r="C239" s="19" t="s">
        <v>272</v>
      </c>
      <c r="D239" s="19">
        <v>2025</v>
      </c>
      <c r="E239">
        <f ca="1">ROUND(VLOOKUP($A239,    'VRE summary'!$B$48:$AD$69,    MATCH($D239, 'VRE summary'!$B$1:$AD$1, 0), FALSE), 0)</f>
        <v>0</v>
      </c>
      <c r="F239">
        <f>ROUND( VLOOKUP($B239,$L$5:$M$7, 2, FALSE) * (1+ VLOOKUP($A239,'vomcost mult'!$N$10:$R$32,5, FALSE)), 2)</f>
        <v>1.99</v>
      </c>
      <c r="G239" s="73" t="str">
        <f t="shared" ca="1" si="3"/>
        <v>remove</v>
      </c>
    </row>
    <row r="240" spans="1:7">
      <c r="A240" t="s">
        <v>129</v>
      </c>
      <c r="B240" t="s">
        <v>215</v>
      </c>
      <c r="C240" s="19" t="s">
        <v>272</v>
      </c>
      <c r="D240" s="19">
        <v>2025</v>
      </c>
      <c r="E240">
        <f ca="1">ROUND(VLOOKUP($A240,    'VRE summary'!$B$48:$AD$69,    MATCH($D240, 'VRE summary'!$B$1:$AD$1, 0), FALSE), 0)</f>
        <v>96</v>
      </c>
      <c r="F240">
        <f>ROUND( VLOOKUP($B240,$L$5:$M$7, 2, FALSE) * (1+ VLOOKUP($A240,'vomcost mult'!$N$10:$R$32,5, FALSE)), 2)</f>
        <v>1.94</v>
      </c>
      <c r="G240" s="73" t="str">
        <f t="shared" ca="1" si="3"/>
        <v>replace</v>
      </c>
    </row>
    <row r="241" spans="1:7">
      <c r="A241" t="s">
        <v>130</v>
      </c>
      <c r="B241" t="s">
        <v>215</v>
      </c>
      <c r="C241" s="19" t="s">
        <v>272</v>
      </c>
      <c r="D241" s="19">
        <v>2025</v>
      </c>
      <c r="E241">
        <f ca="1">ROUND(VLOOKUP($A241,    'VRE summary'!$B$48:$AD$69,    MATCH($D241, 'VRE summary'!$B$1:$AD$1, 0), FALSE), 0)</f>
        <v>0</v>
      </c>
      <c r="F241">
        <f>ROUND( VLOOKUP($B241,$L$5:$M$7, 2, FALSE) * (1+ VLOOKUP($A241,'vomcost mult'!$N$10:$R$32,5, FALSE)), 2)</f>
        <v>1.04</v>
      </c>
      <c r="G241" s="73" t="str">
        <f t="shared" ca="1" si="3"/>
        <v>remove</v>
      </c>
    </row>
    <row r="242" spans="1:7">
      <c r="A242" t="s">
        <v>131</v>
      </c>
      <c r="B242" t="s">
        <v>215</v>
      </c>
      <c r="C242" s="19" t="s">
        <v>272</v>
      </c>
      <c r="D242" s="19">
        <v>2025</v>
      </c>
      <c r="E242">
        <f ca="1">ROUND(VLOOKUP($A242,    'VRE summary'!$B$48:$AD$69,    MATCH($D242, 'VRE summary'!$B$1:$AD$1, 0), FALSE), 0)</f>
        <v>0</v>
      </c>
      <c r="F242">
        <f>ROUND( VLOOKUP($B242,$L$5:$M$7, 2, FALSE) * (1+ VLOOKUP($A242,'vomcost mult'!$N$10:$R$32,5, FALSE)), 2)</f>
        <v>1.77</v>
      </c>
      <c r="G242" s="73" t="str">
        <f t="shared" ca="1" si="3"/>
        <v>remove</v>
      </c>
    </row>
    <row r="243" spans="1:7">
      <c r="A243" t="s">
        <v>132</v>
      </c>
      <c r="B243" t="s">
        <v>215</v>
      </c>
      <c r="C243" s="19" t="s">
        <v>272</v>
      </c>
      <c r="D243" s="19">
        <v>2025</v>
      </c>
      <c r="E243">
        <f ca="1">ROUND(VLOOKUP($A243,    'VRE summary'!$B$48:$AD$69,    MATCH($D243, 'VRE summary'!$B$1:$AD$1, 0), FALSE), 0)</f>
        <v>0</v>
      </c>
      <c r="F243">
        <f>ROUND( VLOOKUP($B243,$L$5:$M$7, 2, FALSE) * (1+ VLOOKUP($A243,'vomcost mult'!$N$10:$R$32,5, FALSE)), 2)</f>
        <v>1.76</v>
      </c>
      <c r="G243" s="73" t="str">
        <f t="shared" ca="1" si="3"/>
        <v>remove</v>
      </c>
    </row>
    <row r="244" spans="1:7">
      <c r="A244" t="s">
        <v>133</v>
      </c>
      <c r="B244" t="s">
        <v>215</v>
      </c>
      <c r="C244" s="19" t="s">
        <v>272</v>
      </c>
      <c r="D244" s="19">
        <v>2025</v>
      </c>
      <c r="E244">
        <f ca="1">ROUND(VLOOKUP($A244,    'VRE summary'!$B$48:$AD$69,    MATCH($D244, 'VRE summary'!$B$1:$AD$1, 0), FALSE), 0)</f>
        <v>0</v>
      </c>
      <c r="F244">
        <f>ROUND( VLOOKUP($B244,$L$5:$M$7, 2, FALSE) * (1+ VLOOKUP($A244,'vomcost mult'!$N$10:$R$32,5, FALSE)), 2)</f>
        <v>1.75</v>
      </c>
      <c r="G244" s="73" t="str">
        <f t="shared" ca="1" si="3"/>
        <v>remove</v>
      </c>
    </row>
    <row r="245" spans="1:7">
      <c r="A245" t="s">
        <v>134</v>
      </c>
      <c r="B245" t="s">
        <v>215</v>
      </c>
      <c r="C245" s="19" t="s">
        <v>272</v>
      </c>
      <c r="D245" s="19">
        <v>2025</v>
      </c>
      <c r="E245">
        <f ca="1">ROUND(VLOOKUP($A245,    'VRE summary'!$B$48:$AD$69,    MATCH($D245, 'VRE summary'!$B$1:$AD$1, 0), FALSE), 0)</f>
        <v>190</v>
      </c>
      <c r="F245">
        <f>ROUND( VLOOKUP($B245,$L$5:$M$7, 2, FALSE) * (1+ VLOOKUP($A245,'vomcost mult'!$N$10:$R$32,5, FALSE)), 2)</f>
        <v>1.74</v>
      </c>
      <c r="G245" s="73" t="str">
        <f t="shared" ca="1" si="3"/>
        <v>replace</v>
      </c>
    </row>
    <row r="246" spans="1:7">
      <c r="A246" t="s">
        <v>135</v>
      </c>
      <c r="B246" t="s">
        <v>215</v>
      </c>
      <c r="C246" s="19" t="s">
        <v>272</v>
      </c>
      <c r="D246" s="19">
        <v>2025</v>
      </c>
      <c r="E246">
        <f ca="1">ROUND(VLOOKUP($A246,    'VRE summary'!$B$48:$AD$69,    MATCH($D246, 'VRE summary'!$B$1:$AD$1, 0), FALSE), 0)</f>
        <v>18647</v>
      </c>
      <c r="F246">
        <f>ROUND( VLOOKUP($B246,$L$5:$M$7, 2, FALSE) * (1+ VLOOKUP($A246,'vomcost mult'!$N$10:$R$32,5, FALSE)), 2)</f>
        <v>1.75</v>
      </c>
      <c r="G246" s="73" t="str">
        <f t="shared" ca="1" si="3"/>
        <v>replace</v>
      </c>
    </row>
    <row r="247" spans="1:7">
      <c r="A247" t="s">
        <v>111</v>
      </c>
      <c r="B247" t="s">
        <v>215</v>
      </c>
      <c r="C247" s="19" t="s">
        <v>272</v>
      </c>
      <c r="D247" s="19">
        <v>2030</v>
      </c>
      <c r="E247">
        <f ca="1">ROUND(VLOOKUP($A247,    'VRE summary'!$B$48:$AD$69,    MATCH($D247, 'VRE summary'!$B$1:$AD$1, 0), FALSE), 0)</f>
        <v>0</v>
      </c>
      <c r="F247">
        <f>ROUND( VLOOKUP($B247,$L$5:$M$7, 2, FALSE) * (1+ VLOOKUP($A247,'vomcost mult'!$N$10:$R$32,5, FALSE)), 2)</f>
        <v>1.69</v>
      </c>
      <c r="G247" s="73" t="str">
        <f t="shared" ca="1" si="3"/>
        <v>remove</v>
      </c>
    </row>
    <row r="248" spans="1:7">
      <c r="A248" t="s">
        <v>114</v>
      </c>
      <c r="B248" t="s">
        <v>215</v>
      </c>
      <c r="C248" s="19" t="s">
        <v>272</v>
      </c>
      <c r="D248" s="19">
        <v>2030</v>
      </c>
      <c r="E248">
        <f ca="1">ROUND(VLOOKUP($A248,    'VRE summary'!$B$48:$AD$69,    MATCH($D248, 'VRE summary'!$B$1:$AD$1, 0), FALSE), 0)</f>
        <v>3180</v>
      </c>
      <c r="F248">
        <f>ROUND( VLOOKUP($B248,$L$5:$M$7, 2, FALSE) * (1+ VLOOKUP($A248,'vomcost mult'!$N$10:$R$32,5, FALSE)), 2)</f>
        <v>1.68</v>
      </c>
      <c r="G248" s="73" t="str">
        <f t="shared" ca="1" si="3"/>
        <v>replace</v>
      </c>
    </row>
    <row r="249" spans="1:7">
      <c r="A249" t="s">
        <v>116</v>
      </c>
      <c r="B249" t="s">
        <v>215</v>
      </c>
      <c r="C249" s="19" t="s">
        <v>272</v>
      </c>
      <c r="D249" s="19">
        <v>2030</v>
      </c>
      <c r="E249">
        <f ca="1">ROUND(VLOOKUP($A249,    'VRE summary'!$B$48:$AD$69,    MATCH($D249, 'VRE summary'!$B$1:$AD$1, 0), FALSE), 0)</f>
        <v>0</v>
      </c>
      <c r="F249">
        <f>ROUND( VLOOKUP($B249,$L$5:$M$7, 2, FALSE) * (1+ VLOOKUP($A249,'vomcost mult'!$N$10:$R$32,5, FALSE)), 2)</f>
        <v>2.1800000000000002</v>
      </c>
      <c r="G249" s="73" t="str">
        <f t="shared" ca="1" si="3"/>
        <v>remove</v>
      </c>
    </row>
    <row r="250" spans="1:7">
      <c r="A250" t="s">
        <v>117</v>
      </c>
      <c r="B250" t="s">
        <v>215</v>
      </c>
      <c r="C250" s="19" t="s">
        <v>272</v>
      </c>
      <c r="D250" s="19">
        <v>2030</v>
      </c>
      <c r="E250">
        <f ca="1">ROUND(VLOOKUP($A250,    'VRE summary'!$B$48:$AD$69,    MATCH($D250, 'VRE summary'!$B$1:$AD$1, 0), FALSE), 0)</f>
        <v>13592</v>
      </c>
      <c r="F250">
        <f>ROUND( VLOOKUP($B250,$L$5:$M$7, 2, FALSE) * (1+ VLOOKUP($A250,'vomcost mult'!$N$10:$R$32,5, FALSE)), 2)</f>
        <v>1.66</v>
      </c>
      <c r="G250" s="73" t="str">
        <f t="shared" ca="1" si="3"/>
        <v>replace</v>
      </c>
    </row>
    <row r="251" spans="1:7">
      <c r="A251" t="s">
        <v>118</v>
      </c>
      <c r="B251" t="s">
        <v>215</v>
      </c>
      <c r="C251" s="19" t="s">
        <v>272</v>
      </c>
      <c r="D251" s="19">
        <v>2030</v>
      </c>
      <c r="E251">
        <f ca="1">ROUND(VLOOKUP($A251,    'VRE summary'!$B$48:$AD$69,    MATCH($D251, 'VRE summary'!$B$1:$AD$1, 0), FALSE), 0)</f>
        <v>2513</v>
      </c>
      <c r="F251">
        <f>ROUND( VLOOKUP($B251,$L$5:$M$7, 2, FALSE) * (1+ VLOOKUP($A251,'vomcost mult'!$N$10:$R$32,5, FALSE)), 2)</f>
        <v>1.88</v>
      </c>
      <c r="G251" s="73" t="str">
        <f t="shared" ca="1" si="3"/>
        <v>replace</v>
      </c>
    </row>
    <row r="252" spans="1:7">
      <c r="A252" t="s">
        <v>119</v>
      </c>
      <c r="B252" t="s">
        <v>215</v>
      </c>
      <c r="C252" s="19" t="s">
        <v>272</v>
      </c>
      <c r="D252" s="19">
        <v>2030</v>
      </c>
      <c r="E252">
        <f ca="1">ROUND(VLOOKUP($A252,    'VRE summary'!$B$48:$AD$69,    MATCH($D252, 'VRE summary'!$B$1:$AD$1, 0), FALSE), 0)</f>
        <v>1237</v>
      </c>
      <c r="F252">
        <f>ROUND( VLOOKUP($B252,$L$5:$M$7, 2, FALSE) * (1+ VLOOKUP($A252,'vomcost mult'!$N$10:$R$32,5, FALSE)), 2)</f>
        <v>1.86</v>
      </c>
      <c r="G252" s="73" t="str">
        <f t="shared" ca="1" si="3"/>
        <v>replace</v>
      </c>
    </row>
    <row r="253" spans="1:7">
      <c r="A253" t="s">
        <v>120</v>
      </c>
      <c r="B253" t="s">
        <v>215</v>
      </c>
      <c r="C253" s="19" t="s">
        <v>272</v>
      </c>
      <c r="D253" s="19">
        <v>2030</v>
      </c>
      <c r="E253">
        <f ca="1">ROUND(VLOOKUP($A253,    'VRE summary'!$B$48:$AD$69,    MATCH($D253, 'VRE summary'!$B$1:$AD$1, 0), FALSE), 0)</f>
        <v>0</v>
      </c>
      <c r="F253">
        <f>ROUND( VLOOKUP($B253,$L$5:$M$7, 2, FALSE) * (1+ VLOOKUP($A253,'vomcost mult'!$N$10:$R$32,5, FALSE)), 2)</f>
        <v>1.19</v>
      </c>
      <c r="G253" s="73" t="str">
        <f t="shared" ca="1" si="3"/>
        <v>remove</v>
      </c>
    </row>
    <row r="254" spans="1:7">
      <c r="A254" t="s">
        <v>121</v>
      </c>
      <c r="B254" t="s">
        <v>215</v>
      </c>
      <c r="C254" s="19" t="s">
        <v>272</v>
      </c>
      <c r="D254" s="19">
        <v>2030</v>
      </c>
      <c r="E254">
        <f ca="1">ROUND(VLOOKUP($A254,    'VRE summary'!$B$48:$AD$69,    MATCH($D254, 'VRE summary'!$B$1:$AD$1, 0), FALSE), 0)</f>
        <v>7</v>
      </c>
      <c r="F254">
        <f>ROUND( VLOOKUP($B254,$L$5:$M$7, 2, FALSE) * (1+ VLOOKUP($A254,'vomcost mult'!$N$10:$R$32,5, FALSE)), 2)</f>
        <v>1.38</v>
      </c>
      <c r="G254" s="73" t="str">
        <f t="shared" ca="1" si="3"/>
        <v>replace</v>
      </c>
    </row>
    <row r="255" spans="1:7">
      <c r="A255" t="s">
        <v>122</v>
      </c>
      <c r="B255" t="s">
        <v>215</v>
      </c>
      <c r="C255" s="19" t="s">
        <v>272</v>
      </c>
      <c r="D255" s="19">
        <v>2030</v>
      </c>
      <c r="E255">
        <f ca="1">ROUND(VLOOKUP($A255,    'VRE summary'!$B$48:$AD$69,    MATCH($D255, 'VRE summary'!$B$1:$AD$1, 0), FALSE), 0)</f>
        <v>93</v>
      </c>
      <c r="F255">
        <f>ROUND( VLOOKUP($B255,$L$5:$M$7, 2, FALSE) * (1+ VLOOKUP($A255,'vomcost mult'!$N$10:$R$32,5, FALSE)), 2)</f>
        <v>1.66</v>
      </c>
      <c r="G255" s="73" t="str">
        <f t="shared" ca="1" si="3"/>
        <v>replace</v>
      </c>
    </row>
    <row r="256" spans="1:7">
      <c r="A256" t="s">
        <v>123</v>
      </c>
      <c r="B256" t="s">
        <v>215</v>
      </c>
      <c r="C256" s="19" t="s">
        <v>272</v>
      </c>
      <c r="D256" s="19">
        <v>2030</v>
      </c>
      <c r="E256">
        <f ca="1">ROUND(VLOOKUP($A256,    'VRE summary'!$B$48:$AD$69,    MATCH($D256, 'VRE summary'!$B$1:$AD$1, 0), FALSE), 0)</f>
        <v>3600</v>
      </c>
      <c r="F256">
        <f>ROUND( VLOOKUP($B256,$L$5:$M$7, 2, FALSE) * (1+ VLOOKUP($A256,'vomcost mult'!$N$10:$R$32,5, FALSE)), 2)</f>
        <v>1.58</v>
      </c>
      <c r="G256" s="73" t="str">
        <f t="shared" ca="1" si="3"/>
        <v>replace</v>
      </c>
    </row>
    <row r="257" spans="1:7">
      <c r="A257" t="s">
        <v>124</v>
      </c>
      <c r="B257" t="s">
        <v>215</v>
      </c>
      <c r="C257" s="19" t="s">
        <v>272</v>
      </c>
      <c r="D257" s="19">
        <v>2030</v>
      </c>
      <c r="E257">
        <f ca="1">ROUND(VLOOKUP($A257,    'VRE summary'!$B$48:$AD$69,    MATCH($D257, 'VRE summary'!$B$1:$AD$1, 0), FALSE), 0)</f>
        <v>0</v>
      </c>
      <c r="F257">
        <f>ROUND( VLOOKUP($B257,$L$5:$M$7, 2, FALSE) * (1+ VLOOKUP($A257,'vomcost mult'!$N$10:$R$32,5, FALSE)), 2)</f>
        <v>1.1499999999999999</v>
      </c>
      <c r="G257" s="73" t="str">
        <f t="shared" ca="1" si="3"/>
        <v>remove</v>
      </c>
    </row>
    <row r="258" spans="1:7">
      <c r="A258" t="s">
        <v>125</v>
      </c>
      <c r="B258" t="s">
        <v>215</v>
      </c>
      <c r="C258" s="19" t="s">
        <v>272</v>
      </c>
      <c r="D258" s="19">
        <v>2030</v>
      </c>
      <c r="E258">
        <f ca="1">ROUND(VLOOKUP($A258,    'VRE summary'!$B$48:$AD$69,    MATCH($D258, 'VRE summary'!$B$1:$AD$1, 0), FALSE), 0)</f>
        <v>0</v>
      </c>
      <c r="F258">
        <f>ROUND( VLOOKUP($B258,$L$5:$M$7, 2, FALSE) * (1+ VLOOKUP($A258,'vomcost mult'!$N$10:$R$32,5, FALSE)), 2)</f>
        <v>1.05</v>
      </c>
      <c r="G258" s="73" t="str">
        <f t="shared" ca="1" si="3"/>
        <v>remove</v>
      </c>
    </row>
    <row r="259" spans="1:7">
      <c r="A259" t="s">
        <v>126</v>
      </c>
      <c r="B259" t="s">
        <v>215</v>
      </c>
      <c r="C259" s="19" t="s">
        <v>272</v>
      </c>
      <c r="D259" s="19">
        <v>2030</v>
      </c>
      <c r="E259">
        <f ca="1">ROUND(VLOOKUP($A259,    'VRE summary'!$B$48:$AD$69,    MATCH($D259, 'VRE summary'!$B$1:$AD$1, 0), FALSE), 0)</f>
        <v>7364</v>
      </c>
      <c r="F259">
        <f>ROUND( VLOOKUP($B259,$L$5:$M$7, 2, FALSE) * (1+ VLOOKUP($A259,'vomcost mult'!$N$10:$R$32,5, FALSE)), 2)</f>
        <v>1.77</v>
      </c>
      <c r="G259" s="73" t="str">
        <f t="shared" ca="1" si="3"/>
        <v>replace</v>
      </c>
    </row>
    <row r="260" spans="1:7">
      <c r="A260" t="s">
        <v>127</v>
      </c>
      <c r="B260" t="s">
        <v>215</v>
      </c>
      <c r="C260" s="19" t="s">
        <v>272</v>
      </c>
      <c r="D260" s="19">
        <v>2030</v>
      </c>
      <c r="E260">
        <f ca="1">ROUND(VLOOKUP($A260,    'VRE summary'!$B$48:$AD$69,    MATCH($D260, 'VRE summary'!$B$1:$AD$1, 0), FALSE), 0)</f>
        <v>0</v>
      </c>
      <c r="F260">
        <f>ROUND( VLOOKUP($B260,$L$5:$M$7, 2, FALSE) * (1+ VLOOKUP($A260,'vomcost mult'!$N$10:$R$32,5, FALSE)), 2)</f>
        <v>1.97</v>
      </c>
      <c r="G260" s="73" t="str">
        <f t="shared" ca="1" si="3"/>
        <v>remove</v>
      </c>
    </row>
    <row r="261" spans="1:7">
      <c r="A261" t="s">
        <v>128</v>
      </c>
      <c r="B261" t="s">
        <v>215</v>
      </c>
      <c r="C261" s="19" t="s">
        <v>272</v>
      </c>
      <c r="D261" s="19">
        <v>2030</v>
      </c>
      <c r="E261">
        <f ca="1">ROUND(VLOOKUP($A261,    'VRE summary'!$B$48:$AD$69,    MATCH($D261, 'VRE summary'!$B$1:$AD$1, 0), FALSE), 0)</f>
        <v>0</v>
      </c>
      <c r="F261">
        <f>ROUND( VLOOKUP($B261,$L$5:$M$7, 2, FALSE) * (1+ VLOOKUP($A261,'vomcost mult'!$N$10:$R$32,5, FALSE)), 2)</f>
        <v>1.99</v>
      </c>
      <c r="G261" s="73" t="str">
        <f t="shared" ref="G261:G268" ca="1" si="4">IF(E261=0, "remove", "replace")</f>
        <v>remove</v>
      </c>
    </row>
    <row r="262" spans="1:7">
      <c r="A262" t="s">
        <v>129</v>
      </c>
      <c r="B262" t="s">
        <v>215</v>
      </c>
      <c r="C262" s="19" t="s">
        <v>272</v>
      </c>
      <c r="D262" s="19">
        <v>2030</v>
      </c>
      <c r="E262">
        <f ca="1">ROUND(VLOOKUP($A262,    'VRE summary'!$B$48:$AD$69,    MATCH($D262, 'VRE summary'!$B$1:$AD$1, 0), FALSE), 0)</f>
        <v>184</v>
      </c>
      <c r="F262">
        <f>ROUND( VLOOKUP($B262,$L$5:$M$7, 2, FALSE) * (1+ VLOOKUP($A262,'vomcost mult'!$N$10:$R$32,5, FALSE)), 2)</f>
        <v>1.94</v>
      </c>
      <c r="G262" s="73" t="str">
        <f t="shared" ca="1" si="4"/>
        <v>replace</v>
      </c>
    </row>
    <row r="263" spans="1:7">
      <c r="A263" t="s">
        <v>130</v>
      </c>
      <c r="B263" t="s">
        <v>215</v>
      </c>
      <c r="C263" s="19" t="s">
        <v>272</v>
      </c>
      <c r="D263" s="19">
        <v>2030</v>
      </c>
      <c r="E263">
        <f ca="1">ROUND(VLOOKUP($A263,    'VRE summary'!$B$48:$AD$69,    MATCH($D263, 'VRE summary'!$B$1:$AD$1, 0), FALSE), 0)</f>
        <v>0</v>
      </c>
      <c r="F263">
        <f>ROUND( VLOOKUP($B263,$L$5:$M$7, 2, FALSE) * (1+ VLOOKUP($A263,'vomcost mult'!$N$10:$R$32,5, FALSE)), 2)</f>
        <v>1.04</v>
      </c>
      <c r="G263" s="73" t="str">
        <f t="shared" ca="1" si="4"/>
        <v>remove</v>
      </c>
    </row>
    <row r="264" spans="1:7">
      <c r="A264" t="s">
        <v>131</v>
      </c>
      <c r="B264" t="s">
        <v>215</v>
      </c>
      <c r="C264" s="19" t="s">
        <v>272</v>
      </c>
      <c r="D264" s="19">
        <v>2030</v>
      </c>
      <c r="E264">
        <f ca="1">ROUND(VLOOKUP($A264,    'VRE summary'!$B$48:$AD$69,    MATCH($D264, 'VRE summary'!$B$1:$AD$1, 0), FALSE), 0)</f>
        <v>0</v>
      </c>
      <c r="F264">
        <f>ROUND( VLOOKUP($B264,$L$5:$M$7, 2, FALSE) * (1+ VLOOKUP($A264,'vomcost mult'!$N$10:$R$32,5, FALSE)), 2)</f>
        <v>1.77</v>
      </c>
      <c r="G264" s="73" t="str">
        <f t="shared" ca="1" si="4"/>
        <v>remove</v>
      </c>
    </row>
    <row r="265" spans="1:7">
      <c r="A265" t="s">
        <v>132</v>
      </c>
      <c r="B265" t="s">
        <v>215</v>
      </c>
      <c r="C265" s="19" t="s">
        <v>272</v>
      </c>
      <c r="D265" s="19">
        <v>2030</v>
      </c>
      <c r="E265">
        <f ca="1">ROUND(VLOOKUP($A265,    'VRE summary'!$B$48:$AD$69,    MATCH($D265, 'VRE summary'!$B$1:$AD$1, 0), FALSE), 0)</f>
        <v>0</v>
      </c>
      <c r="F265">
        <f>ROUND( VLOOKUP($B265,$L$5:$M$7, 2, FALSE) * (1+ VLOOKUP($A265,'vomcost mult'!$N$10:$R$32,5, FALSE)), 2)</f>
        <v>1.76</v>
      </c>
      <c r="G265" s="73" t="str">
        <f t="shared" ca="1" si="4"/>
        <v>remove</v>
      </c>
    </row>
    <row r="266" spans="1:7">
      <c r="A266" t="s">
        <v>133</v>
      </c>
      <c r="B266" t="s">
        <v>215</v>
      </c>
      <c r="C266" s="19" t="s">
        <v>272</v>
      </c>
      <c r="D266" s="19">
        <v>2030</v>
      </c>
      <c r="E266">
        <f ca="1">ROUND(VLOOKUP($A266,    'VRE summary'!$B$48:$AD$69,    MATCH($D266, 'VRE summary'!$B$1:$AD$1, 0), FALSE), 0)</f>
        <v>0</v>
      </c>
      <c r="F266">
        <f>ROUND( VLOOKUP($B266,$L$5:$M$7, 2, FALSE) * (1+ VLOOKUP($A266,'vomcost mult'!$N$10:$R$32,5, FALSE)), 2)</f>
        <v>1.75</v>
      </c>
      <c r="G266" s="73" t="str">
        <f t="shared" ca="1" si="4"/>
        <v>remove</v>
      </c>
    </row>
    <row r="267" spans="1:7">
      <c r="A267" t="s">
        <v>134</v>
      </c>
      <c r="B267" t="s">
        <v>215</v>
      </c>
      <c r="C267" s="19" t="s">
        <v>272</v>
      </c>
      <c r="D267" s="19">
        <v>2030</v>
      </c>
      <c r="E267">
        <f ca="1">ROUND(VLOOKUP($A267,    'VRE summary'!$B$48:$AD$69,    MATCH($D267, 'VRE summary'!$B$1:$AD$1, 0), FALSE), 0)</f>
        <v>181</v>
      </c>
      <c r="F267">
        <f>ROUND( VLOOKUP($B267,$L$5:$M$7, 2, FALSE) * (1+ VLOOKUP($A267,'vomcost mult'!$N$10:$R$32,5, FALSE)), 2)</f>
        <v>1.74</v>
      </c>
      <c r="G267" s="73" t="str">
        <f t="shared" ca="1" si="4"/>
        <v>replace</v>
      </c>
    </row>
    <row r="268" spans="1:7">
      <c r="A268" t="s">
        <v>135</v>
      </c>
      <c r="B268" t="s">
        <v>215</v>
      </c>
      <c r="C268" s="19" t="s">
        <v>272</v>
      </c>
      <c r="D268" s="19">
        <v>2030</v>
      </c>
      <c r="E268">
        <f ca="1">ROUND(VLOOKUP($A268,    'VRE summary'!$B$48:$AD$69,    MATCH($D268, 'VRE summary'!$B$1:$AD$1, 0), FALSE), 0)</f>
        <v>27952</v>
      </c>
      <c r="F268">
        <f>ROUND( VLOOKUP($B268,$L$5:$M$7, 2, FALSE) * (1+ VLOOKUP($A268,'vomcost mult'!$N$10:$R$32,5, FALSE)), 2)</f>
        <v>1.75</v>
      </c>
      <c r="G268" s="73" t="str">
        <f t="shared" ca="1" si="4"/>
        <v>replace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K18" sqref="K18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227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226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4">
        <f>ROUND(F$29*$F36, 0)</f>
        <v>9</v>
      </c>
      <c r="G8" s="64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4">
        <f t="shared" ref="F9" si="2">ROUND(F$29*$F37, 0)</f>
        <v>45</v>
      </c>
      <c r="G9" s="64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4">
        <f>ROUND(F$30*$F38, 0)</f>
        <v>15</v>
      </c>
      <c r="G17" s="64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4">
        <f t="shared" ref="F18" si="4">ROUND(F$30*$F39, 0)</f>
        <v>7</v>
      </c>
      <c r="G18" s="64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4">
        <f t="shared" ref="F19" si="5">ROUND(F$30*$F40, 0)</f>
        <v>14</v>
      </c>
      <c r="G19" s="64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4">
        <f>ROUND(F$31*$F41, 0)</f>
        <v>43</v>
      </c>
      <c r="G21" s="64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4">
        <f t="shared" ref="F22" si="7">ROUND(F$31*$F42, 0)</f>
        <v>100</v>
      </c>
      <c r="G22" s="64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4">
        <f t="shared" ref="F23" si="8">ROUND(F$31*$F43, 0)</f>
        <v>47</v>
      </c>
      <c r="G23" s="64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4">
        <f t="shared" ref="F24" si="9">ROUND(F$31*$F44, 0)</f>
        <v>27</v>
      </c>
      <c r="G24" s="64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5">
        <v>7000</v>
      </c>
      <c r="G25" s="65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225</v>
      </c>
    </row>
    <row r="35" spans="2:6">
      <c r="E35" s="17" t="s">
        <v>145</v>
      </c>
      <c r="F35" s="17" t="s">
        <v>139</v>
      </c>
    </row>
    <row r="36" spans="2:6">
      <c r="B36" t="str">
        <f>onshore!A48</f>
        <v>DK</v>
      </c>
      <c r="C36" t="str">
        <f>onshore!B48</f>
        <v>DKE1</v>
      </c>
      <c r="D36" t="str">
        <f>onshore!C48</f>
        <v>wind_onshore</v>
      </c>
      <c r="E36">
        <f>onshore!D48</f>
        <v>1561.4</v>
      </c>
      <c r="F36">
        <f>onshore!E48</f>
        <v>0.15815329139951587</v>
      </c>
    </row>
    <row r="37" spans="2:6">
      <c r="B37" t="str">
        <f>onshore!A49</f>
        <v>DK</v>
      </c>
      <c r="C37" t="str">
        <f>onshore!B49</f>
        <v>DKW1</v>
      </c>
      <c r="D37" t="str">
        <f>onshore!C49</f>
        <v>wind_onshore</v>
      </c>
      <c r="E37">
        <f>onshore!D49</f>
        <v>8311.2999999999993</v>
      </c>
      <c r="F37">
        <f>onshore!E49</f>
        <v>0.84184670860048416</v>
      </c>
    </row>
    <row r="38" spans="2:6">
      <c r="B38" t="str">
        <f>onshore!A50</f>
        <v>NO</v>
      </c>
      <c r="C38" t="str">
        <f>onshore!B50</f>
        <v>NOM1</v>
      </c>
      <c r="D38" t="str">
        <f>onshore!C50</f>
        <v>wind_onshore</v>
      </c>
      <c r="E38">
        <f>onshore!D50</f>
        <v>1950.2</v>
      </c>
      <c r="F38">
        <f>onshore!E50</f>
        <v>0.41996683678962898</v>
      </c>
    </row>
    <row r="39" spans="2:6">
      <c r="B39" t="str">
        <f>onshore!A51</f>
        <v>NO</v>
      </c>
      <c r="C39" t="str">
        <f>onshore!B51</f>
        <v>NON1</v>
      </c>
      <c r="D39" t="str">
        <f>onshore!C51</f>
        <v>wind_onshore</v>
      </c>
      <c r="E39">
        <f>onshore!D51</f>
        <v>891.3</v>
      </c>
      <c r="F39">
        <f>onshore!E51</f>
        <v>0.19193746366044317</v>
      </c>
    </row>
    <row r="40" spans="2:6">
      <c r="B40" t="str">
        <f>onshore!A52</f>
        <v>NO</v>
      </c>
      <c r="C40" t="str">
        <f>onshore!B52</f>
        <v>NOS0</v>
      </c>
      <c r="D40" t="str">
        <f>onshore!C52</f>
        <v>wind_onshore</v>
      </c>
      <c r="E40">
        <f>onshore!D52</f>
        <v>1802.2</v>
      </c>
      <c r="F40">
        <f>onshore!E52</f>
        <v>0.3880956995499279</v>
      </c>
    </row>
    <row r="41" spans="2:6">
      <c r="B41" t="str">
        <f>onshore!A53</f>
        <v>SE</v>
      </c>
      <c r="C41" t="str">
        <f>onshore!B53</f>
        <v>SE01</v>
      </c>
      <c r="D41" t="str">
        <f>onshore!C53</f>
        <v>wind_onshore</v>
      </c>
      <c r="E41">
        <f>onshore!D53</f>
        <v>6413.6</v>
      </c>
      <c r="F41">
        <f>onshore!E53</f>
        <v>0.19944894671700367</v>
      </c>
    </row>
    <row r="42" spans="2:6">
      <c r="B42" t="str">
        <f>onshore!A54</f>
        <v>SE</v>
      </c>
      <c r="C42" t="str">
        <f>onshore!B54</f>
        <v>SE02</v>
      </c>
      <c r="D42" t="str">
        <f>onshore!C54</f>
        <v>wind_onshore</v>
      </c>
      <c r="E42">
        <f>onshore!D54</f>
        <v>14832.3</v>
      </c>
      <c r="F42">
        <f>onshore!E54</f>
        <v>0.46125212242587832</v>
      </c>
    </row>
    <row r="43" spans="2:6">
      <c r="B43" t="str">
        <f>onshore!A55</f>
        <v>SE</v>
      </c>
      <c r="C43" t="str">
        <f>onshore!B55</f>
        <v>SE03</v>
      </c>
      <c r="D43" t="str">
        <f>onshore!C55</f>
        <v>wind_onshore</v>
      </c>
      <c r="E43">
        <f>onshore!D55</f>
        <v>6928.9</v>
      </c>
      <c r="F43">
        <f>onshore!E55</f>
        <v>0.21547365082129327</v>
      </c>
    </row>
    <row r="44" spans="2:6">
      <c r="B44" t="str">
        <f>onshore!A56</f>
        <v>SE</v>
      </c>
      <c r="C44" t="str">
        <f>onshore!B56</f>
        <v>SE04</v>
      </c>
      <c r="D44" t="str">
        <f>onshore!C56</f>
        <v>wind_onshore</v>
      </c>
      <c r="E44">
        <f>onshore!D56</f>
        <v>3981.8</v>
      </c>
      <c r="F44">
        <f>onshore!E56</f>
        <v>0.12382528003582469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M179"/>
  <sheetViews>
    <sheetView workbookViewId="0">
      <pane ySplit="1" topLeftCell="A2" activePane="bottomLeft" state="frozen"/>
      <selection pane="bottomLeft" activeCell="F3" sqref="F3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7" width="16.5703125" customWidth="1"/>
    <col min="12" max="12" width="19.85546875" bestFit="1" customWidth="1"/>
  </cols>
  <sheetData>
    <row r="1" spans="1:13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228</v>
      </c>
      <c r="G1" s="53" t="s">
        <v>213</v>
      </c>
    </row>
    <row r="2" spans="1:13">
      <c r="A2" s="17" t="s">
        <v>362</v>
      </c>
      <c r="B2" s="90"/>
      <c r="C2" s="90"/>
      <c r="D2" s="90"/>
      <c r="E2" s="90"/>
      <c r="F2" s="90"/>
      <c r="G2" s="90"/>
    </row>
    <row r="3" spans="1:13">
      <c r="A3" t="s">
        <v>111</v>
      </c>
      <c r="B3" t="s">
        <v>223</v>
      </c>
      <c r="C3" s="19" t="s">
        <v>272</v>
      </c>
      <c r="D3" s="19">
        <v>2025</v>
      </c>
      <c r="E3">
        <f>VLOOKUP($A3, 'battery summary'!$C$4:$G$25, MATCH($D3, 'battery summary'!$C$3:$G$3,0), FALSE)</f>
        <v>64</v>
      </c>
      <c r="F3">
        <f>ROUND( VLOOKUP($B3,$L$8:$M$11, 2, FALSE) * (1+ VLOOKUP($A3,'vomcost mult'!$N$10:$R$32,5, FALSE)), 2)</f>
        <v>1.1299999999999999</v>
      </c>
      <c r="G3" s="73" t="str">
        <f t="shared" ref="G3:G46" si="0">IF(E3=0, "remove", "replace")</f>
        <v>replace</v>
      </c>
    </row>
    <row r="4" spans="1:13">
      <c r="A4" t="s">
        <v>114</v>
      </c>
      <c r="B4" t="s">
        <v>223</v>
      </c>
      <c r="C4" s="19" t="s">
        <v>272</v>
      </c>
      <c r="D4" s="19">
        <v>2025</v>
      </c>
      <c r="E4">
        <f>VLOOKUP($A4, 'battery summary'!$C$4:$G$25, MATCH($D4, 'battery summary'!$C$3:$G$3,0), FALSE)</f>
        <v>181</v>
      </c>
      <c r="F4">
        <f>ROUND( VLOOKUP($B4,$L$8:$M$11, 2, FALSE) * (1+ VLOOKUP($A4,'vomcost mult'!$N$10:$R$32,5, FALSE)), 2)</f>
        <v>1.1200000000000001</v>
      </c>
      <c r="G4" s="73" t="str">
        <f t="shared" si="0"/>
        <v>replace</v>
      </c>
    </row>
    <row r="5" spans="1:13">
      <c r="A5" t="s">
        <v>116</v>
      </c>
      <c r="B5" t="s">
        <v>223</v>
      </c>
      <c r="C5" s="19" t="s">
        <v>272</v>
      </c>
      <c r="D5" s="19">
        <v>2025</v>
      </c>
      <c r="E5">
        <f>VLOOKUP($A5, 'battery summary'!$C$4:$G$25, MATCH($D5, 'battery summary'!$C$3:$G$3,0), FALSE)</f>
        <v>0</v>
      </c>
      <c r="F5">
        <f>ROUND( VLOOKUP($B5,$L$8:$M$11, 2, FALSE) * (1+ VLOOKUP($A5,'vomcost mult'!$N$10:$R$32,5, FALSE)), 2)</f>
        <v>1.46</v>
      </c>
      <c r="G5" s="73" t="str">
        <f t="shared" si="0"/>
        <v>remove</v>
      </c>
    </row>
    <row r="6" spans="1:13">
      <c r="A6" t="s">
        <v>117</v>
      </c>
      <c r="B6" t="s">
        <v>223</v>
      </c>
      <c r="C6" s="19" t="s">
        <v>272</v>
      </c>
      <c r="D6" s="19">
        <v>2025</v>
      </c>
      <c r="E6">
        <f>VLOOKUP($A6, 'battery summary'!$C$4:$G$25, MATCH($D6, 'battery summary'!$C$3:$G$3,0), FALSE)</f>
        <v>548</v>
      </c>
      <c r="F6">
        <f>ROUND( VLOOKUP($B6,$L$8:$M$11, 2, FALSE) * (1+ VLOOKUP($A6,'vomcost mult'!$N$10:$R$32,5, FALSE)), 2)</f>
        <v>1.1100000000000001</v>
      </c>
      <c r="G6" s="73" t="str">
        <f t="shared" si="0"/>
        <v>replace</v>
      </c>
    </row>
    <row r="7" spans="1:13">
      <c r="A7" t="s">
        <v>118</v>
      </c>
      <c r="B7" t="s">
        <v>223</v>
      </c>
      <c r="C7" s="19" t="s">
        <v>272</v>
      </c>
      <c r="D7" s="19">
        <v>2025</v>
      </c>
      <c r="E7">
        <f>VLOOKUP($A7, 'battery summary'!$C$4:$G$25, MATCH($D7, 'battery summary'!$C$3:$G$3,0), FALSE)</f>
        <v>9</v>
      </c>
      <c r="F7">
        <f>ROUND( VLOOKUP($B7,$L$8:$M$11, 2, FALSE) * (1+ VLOOKUP($A7,'vomcost mult'!$N$10:$R$32,5, FALSE)), 2)</f>
        <v>1.25</v>
      </c>
      <c r="G7" s="73" t="str">
        <f t="shared" si="0"/>
        <v>replace</v>
      </c>
      <c r="M7" s="17" t="s">
        <v>228</v>
      </c>
    </row>
    <row r="8" spans="1:13">
      <c r="A8" t="s">
        <v>119</v>
      </c>
      <c r="B8" t="s">
        <v>223</v>
      </c>
      <c r="C8" s="19" t="s">
        <v>272</v>
      </c>
      <c r="D8" s="19">
        <v>2025</v>
      </c>
      <c r="E8">
        <f>VLOOKUP($A8, 'battery summary'!$C$4:$G$25, MATCH($D8, 'battery summary'!$C$3:$G$3,0), FALSE)</f>
        <v>45</v>
      </c>
      <c r="F8">
        <f>ROUND( VLOOKUP($B8,$L$8:$M$11, 2, FALSE) * (1+ VLOOKUP($A8,'vomcost mult'!$N$10:$R$32,5, FALSE)), 2)</f>
        <v>1.24</v>
      </c>
      <c r="G8" s="73" t="str">
        <f t="shared" si="0"/>
        <v>replace</v>
      </c>
      <c r="L8" s="91" t="s">
        <v>222</v>
      </c>
      <c r="M8" s="91">
        <v>1.2</v>
      </c>
    </row>
    <row r="9" spans="1:13">
      <c r="A9" t="s">
        <v>120</v>
      </c>
      <c r="B9" t="s">
        <v>223</v>
      </c>
      <c r="C9" s="19" t="s">
        <v>272</v>
      </c>
      <c r="D9" s="19">
        <v>2025</v>
      </c>
      <c r="E9">
        <f>VLOOKUP($A9, 'battery summary'!$C$4:$G$25, MATCH($D9, 'battery summary'!$C$3:$G$3,0), FALSE)</f>
        <v>36</v>
      </c>
      <c r="F9">
        <f>ROUND( VLOOKUP($B9,$L$8:$M$11, 2, FALSE) * (1+ VLOOKUP($A9,'vomcost mult'!$N$10:$R$32,5, FALSE)), 2)</f>
        <v>0.8</v>
      </c>
      <c r="G9" s="73" t="str">
        <f t="shared" si="0"/>
        <v>replace</v>
      </c>
      <c r="L9" s="91" t="s">
        <v>224</v>
      </c>
      <c r="M9" s="91">
        <v>1</v>
      </c>
    </row>
    <row r="10" spans="1:13">
      <c r="A10" t="s">
        <v>121</v>
      </c>
      <c r="B10" t="s">
        <v>223</v>
      </c>
      <c r="C10" s="19" t="s">
        <v>272</v>
      </c>
      <c r="D10" s="19">
        <v>2025</v>
      </c>
      <c r="E10">
        <f>VLOOKUP($A10, 'battery summary'!$C$4:$G$25, MATCH($D10, 'battery summary'!$C$3:$G$3,0), FALSE)</f>
        <v>171</v>
      </c>
      <c r="F10">
        <f>ROUND( VLOOKUP($B10,$L$8:$M$11, 2, FALSE) * (1+ VLOOKUP($A10,'vomcost mult'!$N$10:$R$32,5, FALSE)), 2)</f>
        <v>0.92</v>
      </c>
      <c r="G10" s="73" t="str">
        <f t="shared" si="0"/>
        <v>replace</v>
      </c>
      <c r="L10" s="91" t="s">
        <v>221</v>
      </c>
      <c r="M10" s="91">
        <v>1.2</v>
      </c>
    </row>
    <row r="11" spans="1:13">
      <c r="A11" t="s">
        <v>122</v>
      </c>
      <c r="B11" t="s">
        <v>223</v>
      </c>
      <c r="C11" s="19" t="s">
        <v>272</v>
      </c>
      <c r="D11" s="19">
        <v>2025</v>
      </c>
      <c r="E11">
        <f>VLOOKUP($A11, 'battery summary'!$C$4:$G$25, MATCH($D11, 'battery summary'!$C$3:$G$3,0), FALSE)</f>
        <v>82</v>
      </c>
      <c r="F11">
        <f>ROUND( VLOOKUP($B11,$L$8:$M$11, 2, FALSE) * (1+ VLOOKUP($A11,'vomcost mult'!$N$10:$R$32,5, FALSE)), 2)</f>
        <v>1.1100000000000001</v>
      </c>
      <c r="G11" s="73" t="str">
        <f t="shared" si="0"/>
        <v>replace</v>
      </c>
      <c r="L11" s="91" t="s">
        <v>223</v>
      </c>
      <c r="M11" s="91">
        <v>1</v>
      </c>
    </row>
    <row r="12" spans="1:13">
      <c r="A12" t="s">
        <v>123</v>
      </c>
      <c r="B12" t="s">
        <v>223</v>
      </c>
      <c r="C12" s="19" t="s">
        <v>272</v>
      </c>
      <c r="D12" s="19">
        <v>2025</v>
      </c>
      <c r="E12">
        <f>VLOOKUP($A12, 'battery summary'!$C$4:$G$25, MATCH($D12, 'battery summary'!$C$3:$G$3,0), FALSE)</f>
        <v>1289</v>
      </c>
      <c r="F12">
        <f>ROUND( VLOOKUP($B12,$L$8:$M$11, 2, FALSE) * (1+ VLOOKUP($A12,'vomcost mult'!$N$10:$R$32,5, FALSE)), 2)</f>
        <v>1.05</v>
      </c>
      <c r="G12" s="73" t="str">
        <f t="shared" si="0"/>
        <v>replace</v>
      </c>
    </row>
    <row r="13" spans="1:13">
      <c r="A13" t="s">
        <v>124</v>
      </c>
      <c r="B13" t="s">
        <v>223</v>
      </c>
      <c r="C13" s="19" t="s">
        <v>272</v>
      </c>
      <c r="D13" s="19">
        <v>2025</v>
      </c>
      <c r="E13">
        <f>VLOOKUP($A13, 'battery summary'!$C$4:$G$25, MATCH($D13, 'battery summary'!$C$3:$G$3,0), FALSE)</f>
        <v>36</v>
      </c>
      <c r="F13">
        <f>ROUND( VLOOKUP($B13,$L$8:$M$11, 2, FALSE) * (1+ VLOOKUP($A13,'vomcost mult'!$N$10:$R$32,5, FALSE)), 2)</f>
        <v>0.77</v>
      </c>
      <c r="G13" s="73" t="str">
        <f t="shared" si="0"/>
        <v>replace</v>
      </c>
    </row>
    <row r="14" spans="1:13">
      <c r="A14" t="s">
        <v>125</v>
      </c>
      <c r="B14" t="s">
        <v>223</v>
      </c>
      <c r="C14" s="19" t="s">
        <v>272</v>
      </c>
      <c r="D14" s="19">
        <v>2025</v>
      </c>
      <c r="E14">
        <f>VLOOKUP($A14, 'battery summary'!$C$4:$G$25, MATCH($D14, 'battery summary'!$C$3:$G$3,0), FALSE)</f>
        <v>36</v>
      </c>
      <c r="F14">
        <f>ROUND( VLOOKUP($B14,$L$8:$M$11, 2, FALSE) * (1+ VLOOKUP($A14,'vomcost mult'!$N$10:$R$32,5, FALSE)), 2)</f>
        <v>0.7</v>
      </c>
      <c r="G14" s="73" t="str">
        <f t="shared" si="0"/>
        <v>replace</v>
      </c>
    </row>
    <row r="15" spans="1:13">
      <c r="A15" t="s">
        <v>126</v>
      </c>
      <c r="B15" t="s">
        <v>223</v>
      </c>
      <c r="C15" s="19" t="s">
        <v>272</v>
      </c>
      <c r="D15" s="19">
        <v>2025</v>
      </c>
      <c r="E15">
        <f>VLOOKUP($A15, 'battery summary'!$C$4:$G$25, MATCH($D15, 'battery summary'!$C$3:$G$3,0), FALSE)</f>
        <v>247</v>
      </c>
      <c r="F15">
        <f>ROUND( VLOOKUP($B15,$L$8:$M$11, 2, FALSE) * (1+ VLOOKUP($A15,'vomcost mult'!$N$10:$R$32,5, FALSE)), 2)</f>
        <v>1.18</v>
      </c>
      <c r="G15" s="73" t="str">
        <f t="shared" si="0"/>
        <v>replace</v>
      </c>
    </row>
    <row r="16" spans="1:13">
      <c r="A16" t="s">
        <v>127</v>
      </c>
      <c r="B16" t="s">
        <v>223</v>
      </c>
      <c r="C16" s="19" t="s">
        <v>272</v>
      </c>
      <c r="D16" s="19">
        <v>2025</v>
      </c>
      <c r="E16">
        <f>VLOOKUP($A16, 'battery summary'!$C$4:$G$25, MATCH($D16, 'battery summary'!$C$3:$G$3,0), FALSE)</f>
        <v>15</v>
      </c>
      <c r="F16">
        <f>ROUND( VLOOKUP($B16,$L$8:$M$11, 2, FALSE) * (1+ VLOOKUP($A16,'vomcost mult'!$N$10:$R$32,5, FALSE)), 2)</f>
        <v>1.31</v>
      </c>
      <c r="G16" s="73" t="str">
        <f t="shared" si="0"/>
        <v>replace</v>
      </c>
    </row>
    <row r="17" spans="1:7">
      <c r="A17" t="s">
        <v>128</v>
      </c>
      <c r="B17" t="s">
        <v>223</v>
      </c>
      <c r="C17" s="19" t="s">
        <v>272</v>
      </c>
      <c r="D17" s="19">
        <v>2025</v>
      </c>
      <c r="E17">
        <f>VLOOKUP($A17, 'battery summary'!$C$4:$G$25, MATCH($D17, 'battery summary'!$C$3:$G$3,0), FALSE)</f>
        <v>7</v>
      </c>
      <c r="F17">
        <f>ROUND( VLOOKUP($B17,$L$8:$M$11, 2, FALSE) * (1+ VLOOKUP($A17,'vomcost mult'!$N$10:$R$32,5, FALSE)), 2)</f>
        <v>1.33</v>
      </c>
      <c r="G17" s="73" t="str">
        <f t="shared" si="0"/>
        <v>replace</v>
      </c>
    </row>
    <row r="18" spans="1:7">
      <c r="A18" t="s">
        <v>129</v>
      </c>
      <c r="B18" t="s">
        <v>223</v>
      </c>
      <c r="C18" s="19" t="s">
        <v>272</v>
      </c>
      <c r="D18" s="19">
        <v>2025</v>
      </c>
      <c r="E18">
        <f>VLOOKUP($A18, 'battery summary'!$C$4:$G$25, MATCH($D18, 'battery summary'!$C$3:$G$3,0), FALSE)</f>
        <v>14</v>
      </c>
      <c r="F18">
        <f>ROUND( VLOOKUP($B18,$L$8:$M$11, 2, FALSE) * (1+ VLOOKUP($A18,'vomcost mult'!$N$10:$R$32,5, FALSE)), 2)</f>
        <v>1.3</v>
      </c>
      <c r="G18" s="73" t="str">
        <f t="shared" si="0"/>
        <v>replace</v>
      </c>
    </row>
    <row r="19" spans="1:7">
      <c r="A19" t="s">
        <v>130</v>
      </c>
      <c r="B19" t="s">
        <v>223</v>
      </c>
      <c r="C19" s="19" t="s">
        <v>272</v>
      </c>
      <c r="D19" s="19">
        <v>2025</v>
      </c>
      <c r="E19">
        <f>VLOOKUP($A19, 'battery summary'!$C$4:$G$25, MATCH($D19, 'battery summary'!$C$3:$G$3,0), FALSE)</f>
        <v>52</v>
      </c>
      <c r="F19">
        <f>ROUND( VLOOKUP($B19,$L$8:$M$11, 2, FALSE) * (1+ VLOOKUP($A19,'vomcost mult'!$N$10:$R$32,5, FALSE)), 2)</f>
        <v>0.69</v>
      </c>
      <c r="G19" s="73" t="str">
        <f t="shared" si="0"/>
        <v>replace</v>
      </c>
    </row>
    <row r="20" spans="1:7">
      <c r="A20" t="s">
        <v>131</v>
      </c>
      <c r="B20" t="s">
        <v>223</v>
      </c>
      <c r="C20" s="19" t="s">
        <v>272</v>
      </c>
      <c r="D20" s="19">
        <v>2025</v>
      </c>
      <c r="E20">
        <f>VLOOKUP($A20, 'battery summary'!$C$4:$G$25, MATCH($D20, 'battery summary'!$C$3:$G$3,0), FALSE)</f>
        <v>43</v>
      </c>
      <c r="F20">
        <f>ROUND( VLOOKUP($B20,$L$8:$M$11, 2, FALSE) * (1+ VLOOKUP($A20,'vomcost mult'!$N$10:$R$32,5, FALSE)), 2)</f>
        <v>1.18</v>
      </c>
      <c r="G20" s="73" t="str">
        <f t="shared" si="0"/>
        <v>replace</v>
      </c>
    </row>
    <row r="21" spans="1:7">
      <c r="A21" t="s">
        <v>132</v>
      </c>
      <c r="B21" t="s">
        <v>223</v>
      </c>
      <c r="C21" s="19" t="s">
        <v>272</v>
      </c>
      <c r="D21" s="19">
        <v>2025</v>
      </c>
      <c r="E21">
        <f>VLOOKUP($A21, 'battery summary'!$C$4:$G$25, MATCH($D21, 'battery summary'!$C$3:$G$3,0), FALSE)</f>
        <v>100</v>
      </c>
      <c r="F21">
        <f>ROUND( VLOOKUP($B21,$L$8:$M$11, 2, FALSE) * (1+ VLOOKUP($A21,'vomcost mult'!$N$10:$R$32,5, FALSE)), 2)</f>
        <v>1.17</v>
      </c>
      <c r="G21" s="73" t="str">
        <f t="shared" si="0"/>
        <v>replace</v>
      </c>
    </row>
    <row r="22" spans="1:7">
      <c r="A22" t="s">
        <v>133</v>
      </c>
      <c r="B22" t="s">
        <v>223</v>
      </c>
      <c r="C22" s="19" t="s">
        <v>272</v>
      </c>
      <c r="D22" s="19">
        <v>2025</v>
      </c>
      <c r="E22">
        <f>VLOOKUP($A22, 'battery summary'!$C$4:$G$25, MATCH($D22, 'battery summary'!$C$3:$G$3,0), FALSE)</f>
        <v>47</v>
      </c>
      <c r="F22">
        <f>ROUND( VLOOKUP($B22,$L$8:$M$11, 2, FALSE) * (1+ VLOOKUP($A22,'vomcost mult'!$N$10:$R$32,5, FALSE)), 2)</f>
        <v>1.17</v>
      </c>
      <c r="G22" s="73" t="str">
        <f t="shared" si="0"/>
        <v>replace</v>
      </c>
    </row>
    <row r="23" spans="1:7">
      <c r="A23" t="s">
        <v>134</v>
      </c>
      <c r="B23" t="s">
        <v>223</v>
      </c>
      <c r="C23" s="19" t="s">
        <v>272</v>
      </c>
      <c r="D23" s="19">
        <v>2025</v>
      </c>
      <c r="E23">
        <f>VLOOKUP($A23, 'battery summary'!$C$4:$G$25, MATCH($D23, 'battery summary'!$C$3:$G$3,0), FALSE)</f>
        <v>27</v>
      </c>
      <c r="F23">
        <f>ROUND( VLOOKUP($B23,$L$8:$M$11, 2, FALSE) * (1+ VLOOKUP($A23,'vomcost mult'!$N$10:$R$32,5, FALSE)), 2)</f>
        <v>1.1599999999999999</v>
      </c>
      <c r="G23" s="73" t="str">
        <f t="shared" si="0"/>
        <v>replace</v>
      </c>
    </row>
    <row r="24" spans="1:7">
      <c r="A24" t="s">
        <v>135</v>
      </c>
      <c r="B24" t="s">
        <v>223</v>
      </c>
      <c r="C24" s="19" t="s">
        <v>272</v>
      </c>
      <c r="D24" s="19">
        <v>2025</v>
      </c>
      <c r="E24">
        <f>VLOOKUP($A24, 'battery summary'!$C$4:$G$25, MATCH($D24, 'battery summary'!$C$3:$G$3,0), FALSE)</f>
        <v>7000</v>
      </c>
      <c r="F24">
        <f>ROUND( VLOOKUP($B24,$L$8:$M$11, 2, FALSE) * (1+ VLOOKUP($A24,'vomcost mult'!$N$10:$R$32,5, FALSE)), 2)</f>
        <v>1.17</v>
      </c>
      <c r="G24" s="73" t="str">
        <f t="shared" si="0"/>
        <v>replace</v>
      </c>
    </row>
    <row r="25" spans="1:7">
      <c r="A25" t="s">
        <v>111</v>
      </c>
      <c r="B25" t="s">
        <v>223</v>
      </c>
      <c r="C25" s="19" t="s">
        <v>272</v>
      </c>
      <c r="D25" s="19">
        <v>2030</v>
      </c>
      <c r="E25">
        <f>VLOOKUP($A25, 'battery summary'!$C$4:$G$25, MATCH($D25, 'battery summary'!$C$3:$G$3,0), FALSE)</f>
        <v>103</v>
      </c>
      <c r="F25">
        <f>ROUND( VLOOKUP($B25,$L$8:$M$11, 2, FALSE) * (1+ VLOOKUP($A25,'vomcost mult'!$N$10:$R$32,5, FALSE)), 2)</f>
        <v>1.1299999999999999</v>
      </c>
      <c r="G25" s="73" t="str">
        <f t="shared" si="0"/>
        <v>replace</v>
      </c>
    </row>
    <row r="26" spans="1:7">
      <c r="A26" t="s">
        <v>114</v>
      </c>
      <c r="B26" t="s">
        <v>223</v>
      </c>
      <c r="C26" s="19" t="s">
        <v>272</v>
      </c>
      <c r="D26" s="19">
        <v>2030</v>
      </c>
      <c r="E26">
        <f>VLOOKUP($A26, 'battery summary'!$C$4:$G$25, MATCH($D26, 'battery summary'!$C$3:$G$3,0), FALSE)</f>
        <v>292</v>
      </c>
      <c r="F26">
        <f>ROUND( VLOOKUP($B26,$L$8:$M$11, 2, FALSE) * (1+ VLOOKUP($A26,'vomcost mult'!$N$10:$R$32,5, FALSE)), 2)</f>
        <v>1.1200000000000001</v>
      </c>
      <c r="G26" s="73" t="str">
        <f t="shared" si="0"/>
        <v>replace</v>
      </c>
    </row>
    <row r="27" spans="1:7">
      <c r="A27" t="s">
        <v>116</v>
      </c>
      <c r="B27" t="s">
        <v>223</v>
      </c>
      <c r="C27" s="19" t="s">
        <v>272</v>
      </c>
      <c r="D27" s="19">
        <v>2030</v>
      </c>
      <c r="E27">
        <f>VLOOKUP($A27, 'battery summary'!$C$4:$G$25, MATCH($D27, 'battery summary'!$C$3:$G$3,0), FALSE)</f>
        <v>0</v>
      </c>
      <c r="F27">
        <f>ROUND( VLOOKUP($B27,$L$8:$M$11, 2, FALSE) * (1+ VLOOKUP($A27,'vomcost mult'!$N$10:$R$32,5, FALSE)), 2)</f>
        <v>1.46</v>
      </c>
      <c r="G27" s="73" t="str">
        <f t="shared" si="0"/>
        <v>remove</v>
      </c>
    </row>
    <row r="28" spans="1:7">
      <c r="A28" t="s">
        <v>117</v>
      </c>
      <c r="B28" t="s">
        <v>223</v>
      </c>
      <c r="C28" s="19" t="s">
        <v>272</v>
      </c>
      <c r="D28" s="19">
        <v>2030</v>
      </c>
      <c r="E28">
        <f>VLOOKUP($A28, 'battery summary'!$C$4:$G$25, MATCH($D28, 'battery summary'!$C$3:$G$3,0), FALSE)</f>
        <v>1365</v>
      </c>
      <c r="F28">
        <f>ROUND( VLOOKUP($B28,$L$8:$M$11, 2, FALSE) * (1+ VLOOKUP($A28,'vomcost mult'!$N$10:$R$32,5, FALSE)), 2)</f>
        <v>1.1100000000000001</v>
      </c>
      <c r="G28" s="73" t="str">
        <f t="shared" si="0"/>
        <v>replace</v>
      </c>
    </row>
    <row r="29" spans="1:7">
      <c r="A29" t="s">
        <v>118</v>
      </c>
      <c r="B29" t="s">
        <v>223</v>
      </c>
      <c r="C29" s="19" t="s">
        <v>272</v>
      </c>
      <c r="D29" s="19">
        <v>2030</v>
      </c>
      <c r="E29">
        <f>VLOOKUP($A29, 'battery summary'!$C$4:$G$25, MATCH($D29, 'battery summary'!$C$3:$G$3,0), FALSE)</f>
        <v>14</v>
      </c>
      <c r="F29">
        <f>ROUND( VLOOKUP($B29,$L$8:$M$11, 2, FALSE) * (1+ VLOOKUP($A29,'vomcost mult'!$N$10:$R$32,5, FALSE)), 2)</f>
        <v>1.25</v>
      </c>
      <c r="G29" s="73" t="str">
        <f t="shared" si="0"/>
        <v>replace</v>
      </c>
    </row>
    <row r="30" spans="1:7">
      <c r="A30" t="s">
        <v>119</v>
      </c>
      <c r="B30" t="s">
        <v>223</v>
      </c>
      <c r="C30" s="19" t="s">
        <v>272</v>
      </c>
      <c r="D30" s="19">
        <v>2030</v>
      </c>
      <c r="E30">
        <f>VLOOKUP($A30, 'battery summary'!$C$4:$G$25, MATCH($D30, 'battery summary'!$C$3:$G$3,0), FALSE)</f>
        <v>73</v>
      </c>
      <c r="F30">
        <f>ROUND( VLOOKUP($B30,$L$8:$M$11, 2, FALSE) * (1+ VLOOKUP($A30,'vomcost mult'!$N$10:$R$32,5, FALSE)), 2)</f>
        <v>1.24</v>
      </c>
      <c r="G30" s="73" t="str">
        <f t="shared" si="0"/>
        <v>replace</v>
      </c>
    </row>
    <row r="31" spans="1:7">
      <c r="A31" t="s">
        <v>120</v>
      </c>
      <c r="B31" t="s">
        <v>223</v>
      </c>
      <c r="C31" s="19" t="s">
        <v>272</v>
      </c>
      <c r="D31" s="19">
        <v>2030</v>
      </c>
      <c r="E31">
        <f>VLOOKUP($A31, 'battery summary'!$C$4:$G$25, MATCH($D31, 'battery summary'!$C$3:$G$3,0), FALSE)</f>
        <v>58</v>
      </c>
      <c r="F31">
        <f>ROUND( VLOOKUP($B31,$L$8:$M$11, 2, FALSE) * (1+ VLOOKUP($A31,'vomcost mult'!$N$10:$R$32,5, FALSE)), 2)</f>
        <v>0.8</v>
      </c>
      <c r="G31" s="73" t="str">
        <f t="shared" si="0"/>
        <v>replace</v>
      </c>
    </row>
    <row r="32" spans="1:7">
      <c r="A32" t="s">
        <v>121</v>
      </c>
      <c r="B32" t="s">
        <v>223</v>
      </c>
      <c r="C32" s="19" t="s">
        <v>272</v>
      </c>
      <c r="D32" s="19">
        <v>2030</v>
      </c>
      <c r="E32">
        <f>VLOOKUP($A32, 'battery summary'!$C$4:$G$25, MATCH($D32, 'battery summary'!$C$3:$G$3,0), FALSE)</f>
        <v>276</v>
      </c>
      <c r="F32">
        <f>ROUND( VLOOKUP($B32,$L$8:$M$11, 2, FALSE) * (1+ VLOOKUP($A32,'vomcost mult'!$N$10:$R$32,5, FALSE)), 2)</f>
        <v>0.92</v>
      </c>
      <c r="G32" s="73" t="str">
        <f t="shared" si="0"/>
        <v>replace</v>
      </c>
    </row>
    <row r="33" spans="1:7">
      <c r="A33" t="s">
        <v>122</v>
      </c>
      <c r="B33" t="s">
        <v>223</v>
      </c>
      <c r="C33" s="19" t="s">
        <v>272</v>
      </c>
      <c r="D33" s="19">
        <v>2030</v>
      </c>
      <c r="E33">
        <f>VLOOKUP($A33, 'battery summary'!$C$4:$G$25, MATCH($D33, 'battery summary'!$C$3:$G$3,0), FALSE)</f>
        <v>132</v>
      </c>
      <c r="F33">
        <f>ROUND( VLOOKUP($B33,$L$8:$M$11, 2, FALSE) * (1+ VLOOKUP($A33,'vomcost mult'!$N$10:$R$32,5, FALSE)), 2)</f>
        <v>1.1100000000000001</v>
      </c>
      <c r="G33" s="73" t="str">
        <f t="shared" si="0"/>
        <v>replace</v>
      </c>
    </row>
    <row r="34" spans="1:7">
      <c r="A34" t="s">
        <v>123</v>
      </c>
      <c r="B34" t="s">
        <v>223</v>
      </c>
      <c r="C34" s="19" t="s">
        <v>272</v>
      </c>
      <c r="D34" s="19">
        <v>2030</v>
      </c>
      <c r="E34">
        <f>VLOOKUP($A34, 'battery summary'!$C$4:$G$25, MATCH($D34, 'battery summary'!$C$3:$G$3,0), FALSE)</f>
        <v>2076</v>
      </c>
      <c r="F34">
        <f>ROUND( VLOOKUP($B34,$L$8:$M$11, 2, FALSE) * (1+ VLOOKUP($A34,'vomcost mult'!$N$10:$R$32,5, FALSE)), 2)</f>
        <v>1.05</v>
      </c>
      <c r="G34" s="73" t="str">
        <f t="shared" si="0"/>
        <v>replace</v>
      </c>
    </row>
    <row r="35" spans="1:7">
      <c r="A35" t="s">
        <v>124</v>
      </c>
      <c r="B35" t="s">
        <v>223</v>
      </c>
      <c r="C35" s="19" t="s">
        <v>272</v>
      </c>
      <c r="D35" s="19">
        <v>2030</v>
      </c>
      <c r="E35">
        <f>VLOOKUP($A35, 'battery summary'!$C$4:$G$25, MATCH($D35, 'battery summary'!$C$3:$G$3,0), FALSE)</f>
        <v>58</v>
      </c>
      <c r="F35">
        <f>ROUND( VLOOKUP($B35,$L$8:$M$11, 2, FALSE) * (1+ VLOOKUP($A35,'vomcost mult'!$N$10:$R$32,5, FALSE)), 2)</f>
        <v>0.77</v>
      </c>
      <c r="G35" s="73" t="str">
        <f t="shared" si="0"/>
        <v>replace</v>
      </c>
    </row>
    <row r="36" spans="1:7">
      <c r="A36" t="s">
        <v>125</v>
      </c>
      <c r="B36" t="s">
        <v>223</v>
      </c>
      <c r="C36" s="19" t="s">
        <v>272</v>
      </c>
      <c r="D36" s="19">
        <v>2030</v>
      </c>
      <c r="E36">
        <f>VLOOKUP($A36, 'battery summary'!$C$4:$G$25, MATCH($D36, 'battery summary'!$C$3:$G$3,0), FALSE)</f>
        <v>58</v>
      </c>
      <c r="F36">
        <f>ROUND( VLOOKUP($B36,$L$8:$M$11, 2, FALSE) * (1+ VLOOKUP($A36,'vomcost mult'!$N$10:$R$32,5, FALSE)), 2)</f>
        <v>0.7</v>
      </c>
      <c r="G36" s="73" t="str">
        <f t="shared" si="0"/>
        <v>replace</v>
      </c>
    </row>
    <row r="37" spans="1:7">
      <c r="A37" t="s">
        <v>126</v>
      </c>
      <c r="B37" t="s">
        <v>223</v>
      </c>
      <c r="C37" s="19" t="s">
        <v>272</v>
      </c>
      <c r="D37" s="19">
        <v>2030</v>
      </c>
      <c r="E37">
        <f>VLOOKUP($A37, 'battery summary'!$C$4:$G$25, MATCH($D37, 'battery summary'!$C$3:$G$3,0), FALSE)</f>
        <v>398</v>
      </c>
      <c r="F37">
        <f>ROUND( VLOOKUP($B37,$L$8:$M$11, 2, FALSE) * (1+ VLOOKUP($A37,'vomcost mult'!$N$10:$R$32,5, FALSE)), 2)</f>
        <v>1.18</v>
      </c>
      <c r="G37" s="73" t="str">
        <f t="shared" si="0"/>
        <v>replace</v>
      </c>
    </row>
    <row r="38" spans="1:7">
      <c r="A38" t="s">
        <v>127</v>
      </c>
      <c r="B38" t="s">
        <v>223</v>
      </c>
      <c r="C38" s="19" t="s">
        <v>272</v>
      </c>
      <c r="D38" s="19">
        <v>2030</v>
      </c>
      <c r="E38">
        <f>VLOOKUP($A38, 'battery summary'!$C$4:$G$25, MATCH($D38, 'battery summary'!$C$3:$G$3,0), FALSE)</f>
        <v>24</v>
      </c>
      <c r="F38">
        <f>ROUND( VLOOKUP($B38,$L$8:$M$11, 2, FALSE) * (1+ VLOOKUP($A38,'vomcost mult'!$N$10:$R$32,5, FALSE)), 2)</f>
        <v>1.31</v>
      </c>
      <c r="G38" s="73" t="str">
        <f t="shared" si="0"/>
        <v>replace</v>
      </c>
    </row>
    <row r="39" spans="1:7">
      <c r="A39" t="s">
        <v>128</v>
      </c>
      <c r="B39" t="s">
        <v>223</v>
      </c>
      <c r="C39" s="19" t="s">
        <v>272</v>
      </c>
      <c r="D39" s="19">
        <v>2030</v>
      </c>
      <c r="E39">
        <f>VLOOKUP($A39, 'battery summary'!$C$4:$G$25, MATCH($D39, 'battery summary'!$C$3:$G$3,0), FALSE)</f>
        <v>11</v>
      </c>
      <c r="F39">
        <f>ROUND( VLOOKUP($B39,$L$8:$M$11, 2, FALSE) * (1+ VLOOKUP($A39,'vomcost mult'!$N$10:$R$32,5, FALSE)), 2)</f>
        <v>1.33</v>
      </c>
      <c r="G39" s="73" t="str">
        <f t="shared" si="0"/>
        <v>replace</v>
      </c>
    </row>
    <row r="40" spans="1:7">
      <c r="A40" t="s">
        <v>129</v>
      </c>
      <c r="B40" t="s">
        <v>223</v>
      </c>
      <c r="C40" s="19" t="s">
        <v>272</v>
      </c>
      <c r="D40" s="19">
        <v>2030</v>
      </c>
      <c r="E40">
        <f>VLOOKUP($A40, 'battery summary'!$C$4:$G$25, MATCH($D40, 'battery summary'!$C$3:$G$3,0), FALSE)</f>
        <v>23</v>
      </c>
      <c r="F40">
        <f>ROUND( VLOOKUP($B40,$L$8:$M$11, 2, FALSE) * (1+ VLOOKUP($A40,'vomcost mult'!$N$10:$R$32,5, FALSE)), 2)</f>
        <v>1.3</v>
      </c>
      <c r="G40" s="73" t="str">
        <f t="shared" si="0"/>
        <v>replace</v>
      </c>
    </row>
    <row r="41" spans="1:7">
      <c r="A41" t="s">
        <v>130</v>
      </c>
      <c r="B41" t="s">
        <v>223</v>
      </c>
      <c r="C41" s="19" t="s">
        <v>272</v>
      </c>
      <c r="D41" s="19">
        <v>2030</v>
      </c>
      <c r="E41">
        <f>VLOOKUP($A41, 'battery summary'!$C$4:$G$25, MATCH($D41, 'battery summary'!$C$3:$G$3,0), FALSE)</f>
        <v>84</v>
      </c>
      <c r="F41">
        <f>ROUND( VLOOKUP($B41,$L$8:$M$11, 2, FALSE) * (1+ VLOOKUP($A41,'vomcost mult'!$N$10:$R$32,5, FALSE)), 2)</f>
        <v>0.69</v>
      </c>
      <c r="G41" s="73" t="str">
        <f t="shared" si="0"/>
        <v>replace</v>
      </c>
    </row>
    <row r="42" spans="1:7">
      <c r="A42" t="s">
        <v>131</v>
      </c>
      <c r="B42" t="s">
        <v>223</v>
      </c>
      <c r="C42" s="19" t="s">
        <v>272</v>
      </c>
      <c r="D42" s="19">
        <v>2030</v>
      </c>
      <c r="E42">
        <f>VLOOKUP($A42, 'battery summary'!$C$4:$G$25, MATCH($D42, 'battery summary'!$C$3:$G$3,0), FALSE)</f>
        <v>69</v>
      </c>
      <c r="F42">
        <f>ROUND( VLOOKUP($B42,$L$8:$M$11, 2, FALSE) * (1+ VLOOKUP($A42,'vomcost mult'!$N$10:$R$32,5, FALSE)), 2)</f>
        <v>1.18</v>
      </c>
      <c r="G42" s="73" t="str">
        <f t="shared" si="0"/>
        <v>replace</v>
      </c>
    </row>
    <row r="43" spans="1:7">
      <c r="A43" t="s">
        <v>132</v>
      </c>
      <c r="B43" t="s">
        <v>223</v>
      </c>
      <c r="C43" s="19" t="s">
        <v>272</v>
      </c>
      <c r="D43" s="19">
        <v>2030</v>
      </c>
      <c r="E43">
        <f>VLOOKUP($A43, 'battery summary'!$C$4:$G$25, MATCH($D43, 'battery summary'!$C$3:$G$3,0), FALSE)</f>
        <v>161</v>
      </c>
      <c r="F43">
        <f>ROUND( VLOOKUP($B43,$L$8:$M$11, 2, FALSE) * (1+ VLOOKUP($A43,'vomcost mult'!$N$10:$R$32,5, FALSE)), 2)</f>
        <v>1.17</v>
      </c>
      <c r="G43" s="73" t="str">
        <f t="shared" si="0"/>
        <v>replace</v>
      </c>
    </row>
    <row r="44" spans="1:7">
      <c r="A44" t="s">
        <v>133</v>
      </c>
      <c r="B44" t="s">
        <v>223</v>
      </c>
      <c r="C44" s="19" t="s">
        <v>272</v>
      </c>
      <c r="D44" s="19">
        <v>2030</v>
      </c>
      <c r="E44">
        <f>VLOOKUP($A44, 'battery summary'!$C$4:$G$25, MATCH($D44, 'battery summary'!$C$3:$G$3,0), FALSE)</f>
        <v>75</v>
      </c>
      <c r="F44">
        <f>ROUND( VLOOKUP($B44,$L$8:$M$11, 2, FALSE) * (1+ VLOOKUP($A44,'vomcost mult'!$N$10:$R$32,5, FALSE)), 2)</f>
        <v>1.17</v>
      </c>
      <c r="G44" s="73" t="str">
        <f t="shared" si="0"/>
        <v>replace</v>
      </c>
    </row>
    <row r="45" spans="1:7">
      <c r="A45" t="s">
        <v>134</v>
      </c>
      <c r="B45" t="s">
        <v>223</v>
      </c>
      <c r="C45" s="19" t="s">
        <v>272</v>
      </c>
      <c r="D45" s="19">
        <v>2030</v>
      </c>
      <c r="E45">
        <f>VLOOKUP($A45, 'battery summary'!$C$4:$G$25, MATCH($D45, 'battery summary'!$C$3:$G$3,0), FALSE)</f>
        <v>43</v>
      </c>
      <c r="F45">
        <f>ROUND( VLOOKUP($B45,$L$8:$M$11, 2, FALSE) * (1+ VLOOKUP($A45,'vomcost mult'!$N$10:$R$32,5, FALSE)), 2)</f>
        <v>1.1599999999999999</v>
      </c>
      <c r="G45" s="73" t="str">
        <f t="shared" si="0"/>
        <v>replace</v>
      </c>
    </row>
    <row r="46" spans="1:7">
      <c r="A46" t="s">
        <v>135</v>
      </c>
      <c r="B46" t="s">
        <v>223</v>
      </c>
      <c r="C46" s="19" t="s">
        <v>272</v>
      </c>
      <c r="D46" s="19">
        <v>2030</v>
      </c>
      <c r="E46">
        <f>VLOOKUP($A46, 'battery summary'!$C$4:$G$25, MATCH($D46, 'battery summary'!$C$3:$G$3,0), FALSE)</f>
        <v>10000</v>
      </c>
      <c r="F46">
        <f>ROUND( VLOOKUP($B46,$L$8:$M$11, 2, FALSE) * (1+ VLOOKUP($A46,'vomcost mult'!$N$10:$R$32,5, FALSE)), 2)</f>
        <v>1.17</v>
      </c>
      <c r="G46" s="73" t="str">
        <f t="shared" si="0"/>
        <v>replace</v>
      </c>
    </row>
    <row r="47" spans="1:7">
      <c r="A47" s="17" t="s">
        <v>361</v>
      </c>
      <c r="C47" s="19"/>
      <c r="D47" s="19"/>
      <c r="G47" s="73"/>
    </row>
    <row r="48" spans="1:7">
      <c r="A48" t="s">
        <v>111</v>
      </c>
      <c r="B48" t="s">
        <v>224</v>
      </c>
      <c r="C48" s="19" t="s">
        <v>272</v>
      </c>
      <c r="D48" s="19">
        <v>2025</v>
      </c>
      <c r="E48">
        <f>E3</f>
        <v>64</v>
      </c>
      <c r="F48">
        <f>ROUND( VLOOKUP($B48,$L$8:$M$11, 2, FALSE) * (1+ VLOOKUP($A48,'vomcost mult'!$N$10:$R$32,5, FALSE)), 2)</f>
        <v>1.1299999999999999</v>
      </c>
      <c r="G48" s="73" t="str">
        <f t="shared" ref="G48:G91" si="1">IF(E48=0, "remove", "replace")</f>
        <v>replace</v>
      </c>
    </row>
    <row r="49" spans="1:7">
      <c r="A49" t="s">
        <v>114</v>
      </c>
      <c r="B49" t="s">
        <v>224</v>
      </c>
      <c r="C49" s="19" t="s">
        <v>272</v>
      </c>
      <c r="D49" s="19">
        <v>2025</v>
      </c>
      <c r="E49">
        <f t="shared" ref="E49:E91" si="2">E4</f>
        <v>181</v>
      </c>
      <c r="F49">
        <f>ROUND( VLOOKUP($B49,$L$8:$M$11, 2, FALSE) * (1+ VLOOKUP($A49,'vomcost mult'!$N$10:$R$32,5, FALSE)), 2)</f>
        <v>1.1200000000000001</v>
      </c>
      <c r="G49" s="73" t="str">
        <f t="shared" si="1"/>
        <v>replace</v>
      </c>
    </row>
    <row r="50" spans="1:7">
      <c r="A50" t="s">
        <v>116</v>
      </c>
      <c r="B50" t="s">
        <v>224</v>
      </c>
      <c r="C50" s="19" t="s">
        <v>272</v>
      </c>
      <c r="D50" s="19">
        <v>2025</v>
      </c>
      <c r="E50">
        <f t="shared" si="2"/>
        <v>0</v>
      </c>
      <c r="F50">
        <f>ROUND( VLOOKUP($B50,$L$8:$M$11, 2, FALSE) * (1+ VLOOKUP($A50,'vomcost mult'!$N$10:$R$32,5, FALSE)), 2)</f>
        <v>1.46</v>
      </c>
      <c r="G50" s="73" t="str">
        <f t="shared" si="1"/>
        <v>remove</v>
      </c>
    </row>
    <row r="51" spans="1:7">
      <c r="A51" t="s">
        <v>117</v>
      </c>
      <c r="B51" t="s">
        <v>224</v>
      </c>
      <c r="C51" s="19" t="s">
        <v>272</v>
      </c>
      <c r="D51" s="19">
        <v>2025</v>
      </c>
      <c r="E51">
        <f t="shared" si="2"/>
        <v>548</v>
      </c>
      <c r="F51">
        <f>ROUND( VLOOKUP($B51,$L$8:$M$11, 2, FALSE) * (1+ VLOOKUP($A51,'vomcost mult'!$N$10:$R$32,5, FALSE)), 2)</f>
        <v>1.1100000000000001</v>
      </c>
      <c r="G51" s="73" t="str">
        <f t="shared" si="1"/>
        <v>replace</v>
      </c>
    </row>
    <row r="52" spans="1:7">
      <c r="A52" t="s">
        <v>118</v>
      </c>
      <c r="B52" t="s">
        <v>224</v>
      </c>
      <c r="C52" s="19" t="s">
        <v>272</v>
      </c>
      <c r="D52" s="19">
        <v>2025</v>
      </c>
      <c r="E52">
        <f t="shared" si="2"/>
        <v>9</v>
      </c>
      <c r="F52">
        <f>ROUND( VLOOKUP($B52,$L$8:$M$11, 2, FALSE) * (1+ VLOOKUP($A52,'vomcost mult'!$N$10:$R$32,5, FALSE)), 2)</f>
        <v>1.25</v>
      </c>
      <c r="G52" s="73" t="str">
        <f t="shared" si="1"/>
        <v>replace</v>
      </c>
    </row>
    <row r="53" spans="1:7">
      <c r="A53" t="s">
        <v>119</v>
      </c>
      <c r="B53" t="s">
        <v>224</v>
      </c>
      <c r="C53" s="19" t="s">
        <v>272</v>
      </c>
      <c r="D53" s="19">
        <v>2025</v>
      </c>
      <c r="E53">
        <f t="shared" si="2"/>
        <v>45</v>
      </c>
      <c r="F53">
        <f>ROUND( VLOOKUP($B53,$L$8:$M$11, 2, FALSE) * (1+ VLOOKUP($A53,'vomcost mult'!$N$10:$R$32,5, FALSE)), 2)</f>
        <v>1.24</v>
      </c>
      <c r="G53" s="73" t="str">
        <f t="shared" si="1"/>
        <v>replace</v>
      </c>
    </row>
    <row r="54" spans="1:7">
      <c r="A54" t="s">
        <v>120</v>
      </c>
      <c r="B54" t="s">
        <v>224</v>
      </c>
      <c r="C54" s="19" t="s">
        <v>272</v>
      </c>
      <c r="D54" s="19">
        <v>2025</v>
      </c>
      <c r="E54">
        <f t="shared" si="2"/>
        <v>36</v>
      </c>
      <c r="F54">
        <f>ROUND( VLOOKUP($B54,$L$8:$M$11, 2, FALSE) * (1+ VLOOKUP($A54,'vomcost mult'!$N$10:$R$32,5, FALSE)), 2)</f>
        <v>0.8</v>
      </c>
      <c r="G54" s="73" t="str">
        <f t="shared" si="1"/>
        <v>replace</v>
      </c>
    </row>
    <row r="55" spans="1:7">
      <c r="A55" t="s">
        <v>121</v>
      </c>
      <c r="B55" t="s">
        <v>224</v>
      </c>
      <c r="C55" s="19" t="s">
        <v>272</v>
      </c>
      <c r="D55" s="19">
        <v>2025</v>
      </c>
      <c r="E55">
        <f t="shared" si="2"/>
        <v>171</v>
      </c>
      <c r="F55">
        <f>ROUND( VLOOKUP($B55,$L$8:$M$11, 2, FALSE) * (1+ VLOOKUP($A55,'vomcost mult'!$N$10:$R$32,5, FALSE)), 2)</f>
        <v>0.92</v>
      </c>
      <c r="G55" s="73" t="str">
        <f t="shared" si="1"/>
        <v>replace</v>
      </c>
    </row>
    <row r="56" spans="1:7">
      <c r="A56" t="s">
        <v>122</v>
      </c>
      <c r="B56" t="s">
        <v>224</v>
      </c>
      <c r="C56" s="19" t="s">
        <v>272</v>
      </c>
      <c r="D56" s="19">
        <v>2025</v>
      </c>
      <c r="E56">
        <f t="shared" si="2"/>
        <v>82</v>
      </c>
      <c r="F56">
        <f>ROUND( VLOOKUP($B56,$L$8:$M$11, 2, FALSE) * (1+ VLOOKUP($A56,'vomcost mult'!$N$10:$R$32,5, FALSE)), 2)</f>
        <v>1.1100000000000001</v>
      </c>
      <c r="G56" s="73" t="str">
        <f t="shared" si="1"/>
        <v>replace</v>
      </c>
    </row>
    <row r="57" spans="1:7">
      <c r="A57" t="s">
        <v>123</v>
      </c>
      <c r="B57" t="s">
        <v>224</v>
      </c>
      <c r="C57" s="19" t="s">
        <v>272</v>
      </c>
      <c r="D57" s="19">
        <v>2025</v>
      </c>
      <c r="E57">
        <f t="shared" si="2"/>
        <v>1289</v>
      </c>
      <c r="F57">
        <f>ROUND( VLOOKUP($B57,$L$8:$M$11, 2, FALSE) * (1+ VLOOKUP($A57,'vomcost mult'!$N$10:$R$32,5, FALSE)), 2)</f>
        <v>1.05</v>
      </c>
      <c r="G57" s="73" t="str">
        <f t="shared" si="1"/>
        <v>replace</v>
      </c>
    </row>
    <row r="58" spans="1:7">
      <c r="A58" t="s">
        <v>124</v>
      </c>
      <c r="B58" t="s">
        <v>224</v>
      </c>
      <c r="C58" s="19" t="s">
        <v>272</v>
      </c>
      <c r="D58" s="19">
        <v>2025</v>
      </c>
      <c r="E58">
        <f t="shared" si="2"/>
        <v>36</v>
      </c>
      <c r="F58">
        <f>ROUND( VLOOKUP($B58,$L$8:$M$11, 2, FALSE) * (1+ VLOOKUP($A58,'vomcost mult'!$N$10:$R$32,5, FALSE)), 2)</f>
        <v>0.77</v>
      </c>
      <c r="G58" s="73" t="str">
        <f t="shared" si="1"/>
        <v>replace</v>
      </c>
    </row>
    <row r="59" spans="1:7">
      <c r="A59" t="s">
        <v>125</v>
      </c>
      <c r="B59" t="s">
        <v>224</v>
      </c>
      <c r="C59" s="19" t="s">
        <v>272</v>
      </c>
      <c r="D59" s="19">
        <v>2025</v>
      </c>
      <c r="E59">
        <f t="shared" si="2"/>
        <v>36</v>
      </c>
      <c r="F59">
        <f>ROUND( VLOOKUP($B59,$L$8:$M$11, 2, FALSE) * (1+ VLOOKUP($A59,'vomcost mult'!$N$10:$R$32,5, FALSE)), 2)</f>
        <v>0.7</v>
      </c>
      <c r="G59" s="73" t="str">
        <f t="shared" si="1"/>
        <v>replace</v>
      </c>
    </row>
    <row r="60" spans="1:7">
      <c r="A60" t="s">
        <v>126</v>
      </c>
      <c r="B60" t="s">
        <v>224</v>
      </c>
      <c r="C60" s="19" t="s">
        <v>272</v>
      </c>
      <c r="D60" s="19">
        <v>2025</v>
      </c>
      <c r="E60">
        <f t="shared" si="2"/>
        <v>247</v>
      </c>
      <c r="F60">
        <f>ROUND( VLOOKUP($B60,$L$8:$M$11, 2, FALSE) * (1+ VLOOKUP($A60,'vomcost mult'!$N$10:$R$32,5, FALSE)), 2)</f>
        <v>1.18</v>
      </c>
      <c r="G60" s="73" t="str">
        <f t="shared" si="1"/>
        <v>replace</v>
      </c>
    </row>
    <row r="61" spans="1:7">
      <c r="A61" t="s">
        <v>127</v>
      </c>
      <c r="B61" t="s">
        <v>224</v>
      </c>
      <c r="C61" s="19" t="s">
        <v>272</v>
      </c>
      <c r="D61" s="19">
        <v>2025</v>
      </c>
      <c r="E61">
        <f t="shared" si="2"/>
        <v>15</v>
      </c>
      <c r="F61">
        <f>ROUND( VLOOKUP($B61,$L$8:$M$11, 2, FALSE) * (1+ VLOOKUP($A61,'vomcost mult'!$N$10:$R$32,5, FALSE)), 2)</f>
        <v>1.31</v>
      </c>
      <c r="G61" s="73" t="str">
        <f t="shared" si="1"/>
        <v>replace</v>
      </c>
    </row>
    <row r="62" spans="1:7">
      <c r="A62" t="s">
        <v>128</v>
      </c>
      <c r="B62" t="s">
        <v>224</v>
      </c>
      <c r="C62" s="19" t="s">
        <v>272</v>
      </c>
      <c r="D62" s="19">
        <v>2025</v>
      </c>
      <c r="E62">
        <f t="shared" si="2"/>
        <v>7</v>
      </c>
      <c r="F62">
        <f>ROUND( VLOOKUP($B62,$L$8:$M$11, 2, FALSE) * (1+ VLOOKUP($A62,'vomcost mult'!$N$10:$R$32,5, FALSE)), 2)</f>
        <v>1.33</v>
      </c>
      <c r="G62" s="73" t="str">
        <f t="shared" si="1"/>
        <v>replace</v>
      </c>
    </row>
    <row r="63" spans="1:7">
      <c r="A63" t="s">
        <v>129</v>
      </c>
      <c r="B63" t="s">
        <v>224</v>
      </c>
      <c r="C63" s="19" t="s">
        <v>272</v>
      </c>
      <c r="D63" s="19">
        <v>2025</v>
      </c>
      <c r="E63">
        <f t="shared" si="2"/>
        <v>14</v>
      </c>
      <c r="F63">
        <f>ROUND( VLOOKUP($B63,$L$8:$M$11, 2, FALSE) * (1+ VLOOKUP($A63,'vomcost mult'!$N$10:$R$32,5, FALSE)), 2)</f>
        <v>1.3</v>
      </c>
      <c r="G63" s="73" t="str">
        <f t="shared" si="1"/>
        <v>replace</v>
      </c>
    </row>
    <row r="64" spans="1:7">
      <c r="A64" t="s">
        <v>130</v>
      </c>
      <c r="B64" t="s">
        <v>224</v>
      </c>
      <c r="C64" s="19" t="s">
        <v>272</v>
      </c>
      <c r="D64" s="19">
        <v>2025</v>
      </c>
      <c r="E64">
        <f t="shared" si="2"/>
        <v>52</v>
      </c>
      <c r="F64">
        <f>ROUND( VLOOKUP($B64,$L$8:$M$11, 2, FALSE) * (1+ VLOOKUP($A64,'vomcost mult'!$N$10:$R$32,5, FALSE)), 2)</f>
        <v>0.69</v>
      </c>
      <c r="G64" s="73" t="str">
        <f t="shared" si="1"/>
        <v>replace</v>
      </c>
    </row>
    <row r="65" spans="1:7">
      <c r="A65" t="s">
        <v>131</v>
      </c>
      <c r="B65" t="s">
        <v>224</v>
      </c>
      <c r="C65" s="19" t="s">
        <v>272</v>
      </c>
      <c r="D65" s="19">
        <v>2025</v>
      </c>
      <c r="E65">
        <f t="shared" si="2"/>
        <v>43</v>
      </c>
      <c r="F65">
        <f>ROUND( VLOOKUP($B65,$L$8:$M$11, 2, FALSE) * (1+ VLOOKUP($A65,'vomcost mult'!$N$10:$R$32,5, FALSE)), 2)</f>
        <v>1.18</v>
      </c>
      <c r="G65" s="73" t="str">
        <f t="shared" si="1"/>
        <v>replace</v>
      </c>
    </row>
    <row r="66" spans="1:7">
      <c r="A66" t="s">
        <v>132</v>
      </c>
      <c r="B66" t="s">
        <v>224</v>
      </c>
      <c r="C66" s="19" t="s">
        <v>272</v>
      </c>
      <c r="D66" s="19">
        <v>2025</v>
      </c>
      <c r="E66">
        <f t="shared" si="2"/>
        <v>100</v>
      </c>
      <c r="F66">
        <f>ROUND( VLOOKUP($B66,$L$8:$M$11, 2, FALSE) * (1+ VLOOKUP($A66,'vomcost mult'!$N$10:$R$32,5, FALSE)), 2)</f>
        <v>1.17</v>
      </c>
      <c r="G66" s="73" t="str">
        <f t="shared" si="1"/>
        <v>replace</v>
      </c>
    </row>
    <row r="67" spans="1:7">
      <c r="A67" t="s">
        <v>133</v>
      </c>
      <c r="B67" t="s">
        <v>224</v>
      </c>
      <c r="C67" s="19" t="s">
        <v>272</v>
      </c>
      <c r="D67" s="19">
        <v>2025</v>
      </c>
      <c r="E67">
        <f t="shared" si="2"/>
        <v>47</v>
      </c>
      <c r="F67">
        <f>ROUND( VLOOKUP($B67,$L$8:$M$11, 2, FALSE) * (1+ VLOOKUP($A67,'vomcost mult'!$N$10:$R$32,5, FALSE)), 2)</f>
        <v>1.17</v>
      </c>
      <c r="G67" s="73" t="str">
        <f t="shared" si="1"/>
        <v>replace</v>
      </c>
    </row>
    <row r="68" spans="1:7">
      <c r="A68" t="s">
        <v>134</v>
      </c>
      <c r="B68" t="s">
        <v>224</v>
      </c>
      <c r="C68" s="19" t="s">
        <v>272</v>
      </c>
      <c r="D68" s="19">
        <v>2025</v>
      </c>
      <c r="E68">
        <f t="shared" si="2"/>
        <v>27</v>
      </c>
      <c r="F68">
        <f>ROUND( VLOOKUP($B68,$L$8:$M$11, 2, FALSE) * (1+ VLOOKUP($A68,'vomcost mult'!$N$10:$R$32,5, FALSE)), 2)</f>
        <v>1.1599999999999999</v>
      </c>
      <c r="G68" s="73" t="str">
        <f t="shared" si="1"/>
        <v>replace</v>
      </c>
    </row>
    <row r="69" spans="1:7">
      <c r="A69" t="s">
        <v>135</v>
      </c>
      <c r="B69" t="s">
        <v>224</v>
      </c>
      <c r="C69" s="19" t="s">
        <v>272</v>
      </c>
      <c r="D69" s="19">
        <v>2025</v>
      </c>
      <c r="E69">
        <f t="shared" si="2"/>
        <v>7000</v>
      </c>
      <c r="F69">
        <f>ROUND( VLOOKUP($B69,$L$8:$M$11, 2, FALSE) * (1+ VLOOKUP($A69,'vomcost mult'!$N$10:$R$32,5, FALSE)), 2)</f>
        <v>1.17</v>
      </c>
      <c r="G69" s="73" t="str">
        <f t="shared" si="1"/>
        <v>replace</v>
      </c>
    </row>
    <row r="70" spans="1:7">
      <c r="A70" t="s">
        <v>111</v>
      </c>
      <c r="B70" t="s">
        <v>224</v>
      </c>
      <c r="C70" s="19" t="s">
        <v>272</v>
      </c>
      <c r="D70" s="19">
        <v>2030</v>
      </c>
      <c r="E70">
        <f t="shared" si="2"/>
        <v>103</v>
      </c>
      <c r="F70">
        <f>ROUND( VLOOKUP($B70,$L$8:$M$11, 2, FALSE) * (1+ VLOOKUP($A70,'vomcost mult'!$N$10:$R$32,5, FALSE)), 2)</f>
        <v>1.1299999999999999</v>
      </c>
      <c r="G70" s="73" t="str">
        <f t="shared" si="1"/>
        <v>replace</v>
      </c>
    </row>
    <row r="71" spans="1:7">
      <c r="A71" t="s">
        <v>114</v>
      </c>
      <c r="B71" t="s">
        <v>224</v>
      </c>
      <c r="C71" s="19" t="s">
        <v>272</v>
      </c>
      <c r="D71" s="19">
        <v>2030</v>
      </c>
      <c r="E71">
        <f t="shared" si="2"/>
        <v>292</v>
      </c>
      <c r="F71">
        <f>ROUND( VLOOKUP($B71,$L$8:$M$11, 2, FALSE) * (1+ VLOOKUP($A71,'vomcost mult'!$N$10:$R$32,5, FALSE)), 2)</f>
        <v>1.1200000000000001</v>
      </c>
      <c r="G71" s="73" t="str">
        <f t="shared" si="1"/>
        <v>replace</v>
      </c>
    </row>
    <row r="72" spans="1:7">
      <c r="A72" t="s">
        <v>116</v>
      </c>
      <c r="B72" t="s">
        <v>224</v>
      </c>
      <c r="C72" s="19" t="s">
        <v>272</v>
      </c>
      <c r="D72" s="19">
        <v>2030</v>
      </c>
      <c r="E72">
        <f t="shared" si="2"/>
        <v>0</v>
      </c>
      <c r="F72">
        <f>ROUND( VLOOKUP($B72,$L$8:$M$11, 2, FALSE) * (1+ VLOOKUP($A72,'vomcost mult'!$N$10:$R$32,5, FALSE)), 2)</f>
        <v>1.46</v>
      </c>
      <c r="G72" s="73" t="str">
        <f t="shared" si="1"/>
        <v>remove</v>
      </c>
    </row>
    <row r="73" spans="1:7">
      <c r="A73" t="s">
        <v>117</v>
      </c>
      <c r="B73" t="s">
        <v>224</v>
      </c>
      <c r="C73" s="19" t="s">
        <v>272</v>
      </c>
      <c r="D73" s="19">
        <v>2030</v>
      </c>
      <c r="E73">
        <f t="shared" si="2"/>
        <v>1365</v>
      </c>
      <c r="F73">
        <f>ROUND( VLOOKUP($B73,$L$8:$M$11, 2, FALSE) * (1+ VLOOKUP($A73,'vomcost mult'!$N$10:$R$32,5, FALSE)), 2)</f>
        <v>1.1100000000000001</v>
      </c>
      <c r="G73" s="73" t="str">
        <f t="shared" si="1"/>
        <v>replace</v>
      </c>
    </row>
    <row r="74" spans="1:7">
      <c r="A74" t="s">
        <v>118</v>
      </c>
      <c r="B74" t="s">
        <v>224</v>
      </c>
      <c r="C74" s="19" t="s">
        <v>272</v>
      </c>
      <c r="D74" s="19">
        <v>2030</v>
      </c>
      <c r="E74">
        <f t="shared" si="2"/>
        <v>14</v>
      </c>
      <c r="F74">
        <f>ROUND( VLOOKUP($B74,$L$8:$M$11, 2, FALSE) * (1+ VLOOKUP($A74,'vomcost mult'!$N$10:$R$32,5, FALSE)), 2)</f>
        <v>1.25</v>
      </c>
      <c r="G74" s="73" t="str">
        <f t="shared" si="1"/>
        <v>replace</v>
      </c>
    </row>
    <row r="75" spans="1:7">
      <c r="A75" t="s">
        <v>119</v>
      </c>
      <c r="B75" t="s">
        <v>224</v>
      </c>
      <c r="C75" s="19" t="s">
        <v>272</v>
      </c>
      <c r="D75" s="19">
        <v>2030</v>
      </c>
      <c r="E75">
        <f t="shared" si="2"/>
        <v>73</v>
      </c>
      <c r="F75">
        <f>ROUND( VLOOKUP($B75,$L$8:$M$11, 2, FALSE) * (1+ VLOOKUP($A75,'vomcost mult'!$N$10:$R$32,5, FALSE)), 2)</f>
        <v>1.24</v>
      </c>
      <c r="G75" s="73" t="str">
        <f t="shared" si="1"/>
        <v>replace</v>
      </c>
    </row>
    <row r="76" spans="1:7">
      <c r="A76" t="s">
        <v>120</v>
      </c>
      <c r="B76" t="s">
        <v>224</v>
      </c>
      <c r="C76" s="19" t="s">
        <v>272</v>
      </c>
      <c r="D76" s="19">
        <v>2030</v>
      </c>
      <c r="E76">
        <f t="shared" si="2"/>
        <v>58</v>
      </c>
      <c r="F76">
        <f>ROUND( VLOOKUP($B76,$L$8:$M$11, 2, FALSE) * (1+ VLOOKUP($A76,'vomcost mult'!$N$10:$R$32,5, FALSE)), 2)</f>
        <v>0.8</v>
      </c>
      <c r="G76" s="73" t="str">
        <f t="shared" si="1"/>
        <v>replace</v>
      </c>
    </row>
    <row r="77" spans="1:7">
      <c r="A77" t="s">
        <v>121</v>
      </c>
      <c r="B77" t="s">
        <v>224</v>
      </c>
      <c r="C77" s="19" t="s">
        <v>272</v>
      </c>
      <c r="D77" s="19">
        <v>2030</v>
      </c>
      <c r="E77">
        <f t="shared" si="2"/>
        <v>276</v>
      </c>
      <c r="F77">
        <f>ROUND( VLOOKUP($B77,$L$8:$M$11, 2, FALSE) * (1+ VLOOKUP($A77,'vomcost mult'!$N$10:$R$32,5, FALSE)), 2)</f>
        <v>0.92</v>
      </c>
      <c r="G77" s="73" t="str">
        <f t="shared" si="1"/>
        <v>replace</v>
      </c>
    </row>
    <row r="78" spans="1:7">
      <c r="A78" t="s">
        <v>122</v>
      </c>
      <c r="B78" t="s">
        <v>224</v>
      </c>
      <c r="C78" s="19" t="s">
        <v>272</v>
      </c>
      <c r="D78" s="19">
        <v>2030</v>
      </c>
      <c r="E78">
        <f t="shared" si="2"/>
        <v>132</v>
      </c>
      <c r="F78">
        <f>ROUND( VLOOKUP($B78,$L$8:$M$11, 2, FALSE) * (1+ VLOOKUP($A78,'vomcost mult'!$N$10:$R$32,5, FALSE)), 2)</f>
        <v>1.1100000000000001</v>
      </c>
      <c r="G78" s="73" t="str">
        <f t="shared" si="1"/>
        <v>replace</v>
      </c>
    </row>
    <row r="79" spans="1:7">
      <c r="A79" t="s">
        <v>123</v>
      </c>
      <c r="B79" t="s">
        <v>224</v>
      </c>
      <c r="C79" s="19" t="s">
        <v>272</v>
      </c>
      <c r="D79" s="19">
        <v>2030</v>
      </c>
      <c r="E79">
        <f t="shared" si="2"/>
        <v>2076</v>
      </c>
      <c r="F79">
        <f>ROUND( VLOOKUP($B79,$L$8:$M$11, 2, FALSE) * (1+ VLOOKUP($A79,'vomcost mult'!$N$10:$R$32,5, FALSE)), 2)</f>
        <v>1.05</v>
      </c>
      <c r="G79" s="73" t="str">
        <f t="shared" si="1"/>
        <v>replace</v>
      </c>
    </row>
    <row r="80" spans="1:7">
      <c r="A80" t="s">
        <v>124</v>
      </c>
      <c r="B80" t="s">
        <v>224</v>
      </c>
      <c r="C80" s="19" t="s">
        <v>272</v>
      </c>
      <c r="D80" s="19">
        <v>2030</v>
      </c>
      <c r="E80">
        <f t="shared" si="2"/>
        <v>58</v>
      </c>
      <c r="F80">
        <f>ROUND( VLOOKUP($B80,$L$8:$M$11, 2, FALSE) * (1+ VLOOKUP($A80,'vomcost mult'!$N$10:$R$32,5, FALSE)), 2)</f>
        <v>0.77</v>
      </c>
      <c r="G80" s="73" t="str">
        <f t="shared" si="1"/>
        <v>replace</v>
      </c>
    </row>
    <row r="81" spans="1:7">
      <c r="A81" t="s">
        <v>125</v>
      </c>
      <c r="B81" t="s">
        <v>224</v>
      </c>
      <c r="C81" s="19" t="s">
        <v>272</v>
      </c>
      <c r="D81" s="19">
        <v>2030</v>
      </c>
      <c r="E81">
        <f t="shared" si="2"/>
        <v>58</v>
      </c>
      <c r="F81">
        <f>ROUND( VLOOKUP($B81,$L$8:$M$11, 2, FALSE) * (1+ VLOOKUP($A81,'vomcost mult'!$N$10:$R$32,5, FALSE)), 2)</f>
        <v>0.7</v>
      </c>
      <c r="G81" s="73" t="str">
        <f t="shared" si="1"/>
        <v>replace</v>
      </c>
    </row>
    <row r="82" spans="1:7">
      <c r="A82" t="s">
        <v>126</v>
      </c>
      <c r="B82" t="s">
        <v>224</v>
      </c>
      <c r="C82" s="19" t="s">
        <v>272</v>
      </c>
      <c r="D82" s="19">
        <v>2030</v>
      </c>
      <c r="E82">
        <f t="shared" si="2"/>
        <v>398</v>
      </c>
      <c r="F82">
        <f>ROUND( VLOOKUP($B82,$L$8:$M$11, 2, FALSE) * (1+ VLOOKUP($A82,'vomcost mult'!$N$10:$R$32,5, FALSE)), 2)</f>
        <v>1.18</v>
      </c>
      <c r="G82" s="73" t="str">
        <f t="shared" si="1"/>
        <v>replace</v>
      </c>
    </row>
    <row r="83" spans="1:7">
      <c r="A83" t="s">
        <v>127</v>
      </c>
      <c r="B83" t="s">
        <v>224</v>
      </c>
      <c r="C83" s="19" t="s">
        <v>272</v>
      </c>
      <c r="D83" s="19">
        <v>2030</v>
      </c>
      <c r="E83">
        <f t="shared" si="2"/>
        <v>24</v>
      </c>
      <c r="F83">
        <f>ROUND( VLOOKUP($B83,$L$8:$M$11, 2, FALSE) * (1+ VLOOKUP($A83,'vomcost mult'!$N$10:$R$32,5, FALSE)), 2)</f>
        <v>1.31</v>
      </c>
      <c r="G83" s="73" t="str">
        <f t="shared" si="1"/>
        <v>replace</v>
      </c>
    </row>
    <row r="84" spans="1:7">
      <c r="A84" t="s">
        <v>128</v>
      </c>
      <c r="B84" t="s">
        <v>224</v>
      </c>
      <c r="C84" s="19" t="s">
        <v>272</v>
      </c>
      <c r="D84" s="19">
        <v>2030</v>
      </c>
      <c r="E84">
        <f t="shared" si="2"/>
        <v>11</v>
      </c>
      <c r="F84">
        <f>ROUND( VLOOKUP($B84,$L$8:$M$11, 2, FALSE) * (1+ VLOOKUP($A84,'vomcost mult'!$N$10:$R$32,5, FALSE)), 2)</f>
        <v>1.33</v>
      </c>
      <c r="G84" s="73" t="str">
        <f t="shared" si="1"/>
        <v>replace</v>
      </c>
    </row>
    <row r="85" spans="1:7">
      <c r="A85" t="s">
        <v>129</v>
      </c>
      <c r="B85" t="s">
        <v>224</v>
      </c>
      <c r="C85" s="19" t="s">
        <v>272</v>
      </c>
      <c r="D85" s="19">
        <v>2030</v>
      </c>
      <c r="E85">
        <f t="shared" si="2"/>
        <v>23</v>
      </c>
      <c r="F85">
        <f>ROUND( VLOOKUP($B85,$L$8:$M$11, 2, FALSE) * (1+ VLOOKUP($A85,'vomcost mult'!$N$10:$R$32,5, FALSE)), 2)</f>
        <v>1.3</v>
      </c>
      <c r="G85" s="73" t="str">
        <f t="shared" si="1"/>
        <v>replace</v>
      </c>
    </row>
    <row r="86" spans="1:7">
      <c r="A86" t="s">
        <v>130</v>
      </c>
      <c r="B86" t="s">
        <v>224</v>
      </c>
      <c r="C86" s="19" t="s">
        <v>272</v>
      </c>
      <c r="D86" s="19">
        <v>2030</v>
      </c>
      <c r="E86">
        <f t="shared" si="2"/>
        <v>84</v>
      </c>
      <c r="F86">
        <f>ROUND( VLOOKUP($B86,$L$8:$M$11, 2, FALSE) * (1+ VLOOKUP($A86,'vomcost mult'!$N$10:$R$32,5, FALSE)), 2)</f>
        <v>0.69</v>
      </c>
      <c r="G86" s="73" t="str">
        <f t="shared" si="1"/>
        <v>replace</v>
      </c>
    </row>
    <row r="87" spans="1:7">
      <c r="A87" t="s">
        <v>131</v>
      </c>
      <c r="B87" t="s">
        <v>224</v>
      </c>
      <c r="C87" s="19" t="s">
        <v>272</v>
      </c>
      <c r="D87" s="19">
        <v>2030</v>
      </c>
      <c r="E87">
        <f t="shared" si="2"/>
        <v>69</v>
      </c>
      <c r="F87">
        <f>ROUND( VLOOKUP($B87,$L$8:$M$11, 2, FALSE) * (1+ VLOOKUP($A87,'vomcost mult'!$N$10:$R$32,5, FALSE)), 2)</f>
        <v>1.18</v>
      </c>
      <c r="G87" s="73" t="str">
        <f t="shared" si="1"/>
        <v>replace</v>
      </c>
    </row>
    <row r="88" spans="1:7">
      <c r="A88" t="s">
        <v>132</v>
      </c>
      <c r="B88" t="s">
        <v>224</v>
      </c>
      <c r="C88" s="19" t="s">
        <v>272</v>
      </c>
      <c r="D88" s="19">
        <v>2030</v>
      </c>
      <c r="E88">
        <f t="shared" si="2"/>
        <v>161</v>
      </c>
      <c r="F88">
        <f>ROUND( VLOOKUP($B88,$L$8:$M$11, 2, FALSE) * (1+ VLOOKUP($A88,'vomcost mult'!$N$10:$R$32,5, FALSE)), 2)</f>
        <v>1.17</v>
      </c>
      <c r="G88" s="73" t="str">
        <f t="shared" si="1"/>
        <v>replace</v>
      </c>
    </row>
    <row r="89" spans="1:7">
      <c r="A89" t="s">
        <v>133</v>
      </c>
      <c r="B89" t="s">
        <v>224</v>
      </c>
      <c r="C89" s="19" t="s">
        <v>272</v>
      </c>
      <c r="D89" s="19">
        <v>2030</v>
      </c>
      <c r="E89">
        <f t="shared" si="2"/>
        <v>75</v>
      </c>
      <c r="F89">
        <f>ROUND( VLOOKUP($B89,$L$8:$M$11, 2, FALSE) * (1+ VLOOKUP($A89,'vomcost mult'!$N$10:$R$32,5, FALSE)), 2)</f>
        <v>1.17</v>
      </c>
      <c r="G89" s="73" t="str">
        <f t="shared" si="1"/>
        <v>replace</v>
      </c>
    </row>
    <row r="90" spans="1:7">
      <c r="A90" t="s">
        <v>134</v>
      </c>
      <c r="B90" t="s">
        <v>224</v>
      </c>
      <c r="C90" s="19" t="s">
        <v>272</v>
      </c>
      <c r="D90" s="19">
        <v>2030</v>
      </c>
      <c r="E90">
        <f t="shared" si="2"/>
        <v>43</v>
      </c>
      <c r="F90">
        <f>ROUND( VLOOKUP($B90,$L$8:$M$11, 2, FALSE) * (1+ VLOOKUP($A90,'vomcost mult'!$N$10:$R$32,5, FALSE)), 2)</f>
        <v>1.1599999999999999</v>
      </c>
      <c r="G90" s="73" t="str">
        <f t="shared" si="1"/>
        <v>replace</v>
      </c>
    </row>
    <row r="91" spans="1:7">
      <c r="A91" t="s">
        <v>135</v>
      </c>
      <c r="B91" t="s">
        <v>224</v>
      </c>
      <c r="C91" s="19" t="s">
        <v>272</v>
      </c>
      <c r="D91" s="19">
        <v>2030</v>
      </c>
      <c r="E91">
        <f t="shared" si="2"/>
        <v>10000</v>
      </c>
      <c r="F91">
        <f>ROUND( VLOOKUP($B91,$L$8:$M$11, 2, FALSE) * (1+ VLOOKUP($A91,'vomcost mult'!$N$10:$R$32,5, FALSE)), 2)</f>
        <v>1.17</v>
      </c>
      <c r="G91" s="73" t="str">
        <f t="shared" si="1"/>
        <v>replace</v>
      </c>
    </row>
    <row r="92" spans="1:7">
      <c r="C92" s="19"/>
      <c r="D92" s="19"/>
    </row>
    <row r="93" spans="1:7">
      <c r="C93" s="19"/>
      <c r="D93" s="19"/>
    </row>
    <row r="94" spans="1:7">
      <c r="C94" s="19"/>
      <c r="D94" s="19"/>
    </row>
    <row r="95" spans="1:7">
      <c r="C95" s="19"/>
      <c r="D95" s="19"/>
    </row>
    <row r="96" spans="1:7">
      <c r="C96" s="19"/>
      <c r="D96" s="19"/>
    </row>
    <row r="97" spans="3:4">
      <c r="C97" s="19"/>
      <c r="D97" s="19"/>
    </row>
    <row r="98" spans="3:4">
      <c r="C98" s="19"/>
      <c r="D98" s="19"/>
    </row>
    <row r="99" spans="3:4">
      <c r="C99" s="19"/>
      <c r="D99" s="19"/>
    </row>
    <row r="100" spans="3:4">
      <c r="C100" s="19"/>
      <c r="D100" s="19"/>
    </row>
    <row r="101" spans="3:4">
      <c r="C101" s="19"/>
      <c r="D101" s="19"/>
    </row>
    <row r="102" spans="3:4">
      <c r="C102" s="19"/>
      <c r="D102" s="19"/>
    </row>
    <row r="103" spans="3:4">
      <c r="C103" s="19"/>
      <c r="D103" s="19"/>
    </row>
    <row r="104" spans="3:4">
      <c r="C104" s="19"/>
      <c r="D104" s="19"/>
    </row>
    <row r="105" spans="3:4">
      <c r="C105" s="19"/>
      <c r="D105" s="19"/>
    </row>
    <row r="106" spans="3:4">
      <c r="C106" s="19"/>
      <c r="D106" s="19"/>
    </row>
    <row r="107" spans="3:4">
      <c r="C107" s="19"/>
      <c r="D107" s="19"/>
    </row>
    <row r="108" spans="3:4">
      <c r="C108" s="19"/>
      <c r="D108" s="19"/>
    </row>
    <row r="109" spans="3:4">
      <c r="C109" s="19"/>
      <c r="D109" s="19"/>
    </row>
    <row r="110" spans="3:4">
      <c r="C110" s="19"/>
      <c r="D110" s="19"/>
    </row>
    <row r="111" spans="3:4">
      <c r="C111" s="19"/>
      <c r="D111" s="19"/>
    </row>
    <row r="112" spans="3:4">
      <c r="C112" s="19"/>
      <c r="D112" s="19"/>
    </row>
    <row r="113" spans="3:4">
      <c r="C113" s="19"/>
      <c r="D113" s="19"/>
    </row>
    <row r="114" spans="3:4">
      <c r="C114" s="19"/>
      <c r="D114" s="19"/>
    </row>
    <row r="115" spans="3:4">
      <c r="C115" s="19"/>
      <c r="D115" s="19"/>
    </row>
    <row r="116" spans="3:4">
      <c r="C116" s="19"/>
      <c r="D116" s="19"/>
    </row>
    <row r="117" spans="3:4">
      <c r="C117" s="19"/>
      <c r="D117" s="19"/>
    </row>
    <row r="118" spans="3:4">
      <c r="C118" s="19"/>
      <c r="D118" s="19"/>
    </row>
    <row r="119" spans="3:4">
      <c r="C119" s="19"/>
      <c r="D119" s="19"/>
    </row>
    <row r="120" spans="3:4">
      <c r="C120" s="19"/>
      <c r="D120" s="19"/>
    </row>
    <row r="121" spans="3:4">
      <c r="C121" s="19"/>
      <c r="D121" s="19"/>
    </row>
    <row r="122" spans="3:4">
      <c r="C122" s="19"/>
      <c r="D122" s="19"/>
    </row>
    <row r="123" spans="3:4">
      <c r="C123" s="19"/>
      <c r="D123" s="19"/>
    </row>
    <row r="124" spans="3:4">
      <c r="C124" s="19"/>
      <c r="D124" s="19"/>
    </row>
    <row r="125" spans="3:4">
      <c r="C125" s="19"/>
      <c r="D125" s="19"/>
    </row>
    <row r="126" spans="3:4">
      <c r="C126" s="19"/>
      <c r="D126" s="19"/>
    </row>
    <row r="127" spans="3:4">
      <c r="C127" s="19"/>
      <c r="D127" s="19"/>
    </row>
    <row r="128" spans="3:4">
      <c r="C128" s="19"/>
      <c r="D128" s="19"/>
    </row>
    <row r="129" spans="3:4">
      <c r="C129" s="19"/>
      <c r="D129" s="19"/>
    </row>
    <row r="130" spans="3:4">
      <c r="C130" s="19"/>
      <c r="D130" s="19"/>
    </row>
    <row r="131" spans="3:4">
      <c r="C131" s="19"/>
      <c r="D131" s="19"/>
    </row>
    <row r="132" spans="3:4">
      <c r="C132" s="19"/>
      <c r="D132" s="19"/>
    </row>
    <row r="133" spans="3:4">
      <c r="C133" s="19"/>
      <c r="D133" s="19"/>
    </row>
    <row r="134" spans="3:4">
      <c r="C134" s="19"/>
      <c r="D134" s="19"/>
    </row>
    <row r="135" spans="3:4">
      <c r="C135" s="19"/>
      <c r="D135" s="19"/>
    </row>
    <row r="136" spans="3:4">
      <c r="C136" s="19"/>
      <c r="D136" s="19"/>
    </row>
    <row r="137" spans="3:4">
      <c r="C137" s="19"/>
      <c r="D137" s="19"/>
    </row>
    <row r="138" spans="3:4">
      <c r="C138" s="19"/>
      <c r="D138" s="19"/>
    </row>
    <row r="139" spans="3:4">
      <c r="C139" s="19"/>
      <c r="D139" s="19"/>
    </row>
    <row r="140" spans="3:4">
      <c r="C140" s="19"/>
      <c r="D140" s="19"/>
    </row>
    <row r="141" spans="3:4">
      <c r="C141" s="19"/>
      <c r="D141" s="19"/>
    </row>
    <row r="142" spans="3:4">
      <c r="C142" s="19"/>
      <c r="D142" s="19"/>
    </row>
    <row r="143" spans="3:4">
      <c r="C143" s="19"/>
      <c r="D143" s="19"/>
    </row>
    <row r="144" spans="3:4">
      <c r="C144" s="19"/>
      <c r="D144" s="19"/>
    </row>
    <row r="145" spans="3:4">
      <c r="C145" s="19"/>
      <c r="D145" s="19"/>
    </row>
    <row r="146" spans="3:4">
      <c r="C146" s="19"/>
      <c r="D146" s="19"/>
    </row>
    <row r="147" spans="3:4">
      <c r="C147" s="19"/>
      <c r="D147" s="19"/>
    </row>
    <row r="148" spans="3:4">
      <c r="C148" s="19"/>
      <c r="D148" s="19"/>
    </row>
    <row r="149" spans="3:4">
      <c r="C149" s="19"/>
      <c r="D149" s="19"/>
    </row>
    <row r="150" spans="3:4">
      <c r="C150" s="19"/>
      <c r="D150" s="19"/>
    </row>
    <row r="151" spans="3:4">
      <c r="C151" s="19"/>
      <c r="D151" s="19"/>
    </row>
    <row r="152" spans="3:4">
      <c r="C152" s="19"/>
      <c r="D152" s="19"/>
    </row>
    <row r="153" spans="3:4">
      <c r="C153" s="19"/>
      <c r="D153" s="19"/>
    </row>
    <row r="154" spans="3:4">
      <c r="C154" s="19"/>
      <c r="D154" s="19"/>
    </row>
    <row r="155" spans="3:4">
      <c r="C155" s="19"/>
      <c r="D155" s="19"/>
    </row>
    <row r="156" spans="3:4">
      <c r="C156" s="19"/>
      <c r="D156" s="19"/>
    </row>
    <row r="157" spans="3:4">
      <c r="C157" s="19"/>
      <c r="D157" s="19"/>
    </row>
    <row r="158" spans="3:4">
      <c r="C158" s="19"/>
      <c r="D158" s="19"/>
    </row>
    <row r="159" spans="3:4">
      <c r="C159" s="19"/>
      <c r="D159" s="19"/>
    </row>
    <row r="160" spans="3:4">
      <c r="C160" s="19"/>
      <c r="D160" s="19"/>
    </row>
    <row r="161" spans="3:4">
      <c r="C161" s="19"/>
      <c r="D161" s="19"/>
    </row>
    <row r="162" spans="3:4">
      <c r="C162" s="19"/>
      <c r="D162" s="19"/>
    </row>
    <row r="163" spans="3:4">
      <c r="C163" s="19"/>
      <c r="D163" s="19"/>
    </row>
    <row r="164" spans="3:4">
      <c r="C164" s="19"/>
      <c r="D164" s="19"/>
    </row>
    <row r="165" spans="3:4">
      <c r="C165" s="19"/>
      <c r="D165" s="19"/>
    </row>
    <row r="166" spans="3:4">
      <c r="C166" s="19"/>
      <c r="D166" s="19"/>
    </row>
    <row r="167" spans="3:4">
      <c r="C167" s="19"/>
      <c r="D167" s="19"/>
    </row>
    <row r="168" spans="3:4">
      <c r="C168" s="19"/>
      <c r="D168" s="19"/>
    </row>
    <row r="169" spans="3:4">
      <c r="C169" s="19"/>
      <c r="D169" s="19"/>
    </row>
    <row r="170" spans="3:4">
      <c r="C170" s="19"/>
      <c r="D170" s="19"/>
    </row>
    <row r="171" spans="3:4">
      <c r="C171" s="19"/>
      <c r="D171" s="19"/>
    </row>
    <row r="172" spans="3:4">
      <c r="C172" s="19"/>
      <c r="D172" s="19"/>
    </row>
    <row r="173" spans="3:4">
      <c r="C173" s="19"/>
      <c r="D173" s="19"/>
    </row>
    <row r="174" spans="3:4">
      <c r="C174" s="19"/>
      <c r="D174" s="19"/>
    </row>
    <row r="175" spans="3:4">
      <c r="C175" s="19"/>
      <c r="D175" s="19"/>
    </row>
    <row r="176" spans="3:4">
      <c r="C176" s="19"/>
      <c r="D176" s="19"/>
    </row>
    <row r="177" spans="3:4">
      <c r="C177" s="19"/>
      <c r="D177" s="19"/>
    </row>
    <row r="178" spans="3:4">
      <c r="C178" s="19"/>
      <c r="D178" s="19"/>
    </row>
    <row r="179" spans="3:4">
      <c r="C179" s="19"/>
      <c r="D179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M105"/>
  <sheetViews>
    <sheetView tabSelected="1" workbookViewId="0">
      <selection activeCell="M5" sqref="M5"/>
    </sheetView>
  </sheetViews>
  <sheetFormatPr defaultRowHeight="15"/>
  <cols>
    <col min="1" max="1" width="10.140625" customWidth="1"/>
    <col min="2" max="2" width="26.42578125" bestFit="1" customWidth="1"/>
    <col min="3" max="3" width="15.28515625" style="19" bestFit="1" customWidth="1"/>
    <col min="4" max="4" width="9.140625" style="19"/>
    <col min="5" max="6" width="18.28515625" style="19" customWidth="1"/>
    <col min="11" max="11" width="20.85546875" customWidth="1"/>
    <col min="12" max="12" width="29.140625" customWidth="1"/>
  </cols>
  <sheetData>
    <row r="1" spans="1:13">
      <c r="A1" s="66" t="s">
        <v>3</v>
      </c>
      <c r="B1" s="66" t="s">
        <v>209</v>
      </c>
      <c r="C1" s="66" t="s">
        <v>210</v>
      </c>
      <c r="D1" s="66" t="s">
        <v>211</v>
      </c>
      <c r="E1" s="66" t="s">
        <v>212</v>
      </c>
      <c r="F1" s="66" t="s">
        <v>228</v>
      </c>
      <c r="M1" t="s">
        <v>228</v>
      </c>
    </row>
    <row r="2" spans="1:13">
      <c r="A2" t="s">
        <v>111</v>
      </c>
      <c r="B2" t="s">
        <v>237</v>
      </c>
      <c r="C2" s="19" t="s">
        <v>214</v>
      </c>
      <c r="D2" s="19">
        <v>1</v>
      </c>
      <c r="E2" s="19">
        <v>113</v>
      </c>
      <c r="F2" s="19">
        <f>ROUND( VLOOKUP($B2,$L$2:$M$26, 2, FALSE) * (1+ VLOOKUP($A2,'vomcost mult'!$N$10:$R$32,5, FALSE)), 2)</f>
        <v>1.8</v>
      </c>
      <c r="L2" s="74" t="s">
        <v>237</v>
      </c>
      <c r="M2">
        <f>SUMIFS([1]unittypedata!$S:$S,[1]unittypedata!$C:$C, $L2)</f>
        <v>1.6</v>
      </c>
    </row>
    <row r="3" spans="1:13">
      <c r="A3" t="s">
        <v>111</v>
      </c>
      <c r="B3" t="s">
        <v>238</v>
      </c>
      <c r="C3" s="19" t="s">
        <v>214</v>
      </c>
      <c r="D3" s="19">
        <v>1</v>
      </c>
      <c r="E3" s="19">
        <v>356.5</v>
      </c>
      <c r="F3" s="19">
        <f>ROUND( VLOOKUP($B3,$L$2:$M$26, 2, FALSE) * (1+ VLOOKUP($A3,'vomcost mult'!$N$10:$R$32,5, FALSE)), 2)</f>
        <v>1.8</v>
      </c>
      <c r="L3" t="s">
        <v>238</v>
      </c>
      <c r="M3">
        <f>SUMIFS([1]unittypedata!$S:$S,[1]unittypedata!$C:$C, L3)</f>
        <v>1.6</v>
      </c>
    </row>
    <row r="4" spans="1:13">
      <c r="A4" t="s">
        <v>111</v>
      </c>
      <c r="B4" t="s">
        <v>239</v>
      </c>
      <c r="C4" s="19" t="s">
        <v>214</v>
      </c>
      <c r="D4" s="19">
        <v>1</v>
      </c>
      <c r="E4" s="19">
        <v>220</v>
      </c>
      <c r="F4" s="19">
        <f>ROUND( VLOOKUP($B4,$L$2:$M$26, 2, FALSE) * (1+ VLOOKUP($A4,'vomcost mult'!$N$10:$R$32,5, FALSE)), 2)</f>
        <v>1.8</v>
      </c>
      <c r="L4" s="74" t="s">
        <v>239</v>
      </c>
      <c r="M4">
        <f>SUMIFS([1]unittypedata!$S:$S,[1]unittypedata!$C:$C, L4)</f>
        <v>1.6</v>
      </c>
    </row>
    <row r="5" spans="1:13">
      <c r="A5" t="s">
        <v>111</v>
      </c>
      <c r="B5" t="s">
        <v>241</v>
      </c>
      <c r="C5" s="19" t="s">
        <v>214</v>
      </c>
      <c r="D5" s="19">
        <v>1</v>
      </c>
      <c r="E5" s="19">
        <v>370</v>
      </c>
      <c r="F5" s="19">
        <f>ROUND( VLOOKUP($B5,$L$2:$M$26, 2, FALSE) * (1+ VLOOKUP($A5,'vomcost mult'!$N$10:$R$32,5, FALSE)), 2)</f>
        <v>1.8</v>
      </c>
      <c r="L5" t="s">
        <v>241</v>
      </c>
      <c r="M5">
        <f>SUMIFS([1]unittypedata!$S:$S,[1]unittypedata!$C:$C, L5)</f>
        <v>1.6</v>
      </c>
    </row>
    <row r="6" spans="1:13">
      <c r="A6" t="s">
        <v>111</v>
      </c>
      <c r="B6" t="s">
        <v>242</v>
      </c>
      <c r="C6" s="19" t="s">
        <v>214</v>
      </c>
      <c r="D6" s="19">
        <v>1</v>
      </c>
      <c r="E6" s="19">
        <v>1751.6</v>
      </c>
      <c r="F6" s="19">
        <f>ROUND( VLOOKUP($B6,$L$2:$M$26, 2, FALSE) * (1+ VLOOKUP($A6,'vomcost mult'!$N$10:$R$32,5, FALSE)), 2)</f>
        <v>1.8</v>
      </c>
      <c r="L6" s="74" t="s">
        <v>242</v>
      </c>
      <c r="M6">
        <f>SUMIFS([1]unittypedata!$S:$S,[1]unittypedata!$C:$C, L6)</f>
        <v>1.6</v>
      </c>
    </row>
    <row r="7" spans="1:13">
      <c r="A7" t="s">
        <v>111</v>
      </c>
      <c r="B7" t="s">
        <v>245</v>
      </c>
      <c r="C7" s="19" t="s">
        <v>214</v>
      </c>
      <c r="D7" s="19">
        <v>1</v>
      </c>
      <c r="E7" s="19">
        <v>51.2</v>
      </c>
      <c r="F7" s="19">
        <f>ROUND( VLOOKUP($B7,$L$2:$M$26, 2, FALSE) * (1+ VLOOKUP($A7,'vomcost mult'!$N$10:$R$32,5, FALSE)), 2)</f>
        <v>1.8</v>
      </c>
      <c r="L7" t="s">
        <v>245</v>
      </c>
      <c r="M7">
        <f>SUMIFS([1]unittypedata!$S:$S,[1]unittypedata!$C:$C, L7)</f>
        <v>1.6</v>
      </c>
    </row>
    <row r="8" spans="1:13">
      <c r="A8" t="s">
        <v>111</v>
      </c>
      <c r="B8" t="s">
        <v>246</v>
      </c>
      <c r="C8" s="19" t="s">
        <v>214</v>
      </c>
      <c r="D8" s="19">
        <v>1</v>
      </c>
      <c r="E8" s="19">
        <v>17.2</v>
      </c>
      <c r="F8" s="19">
        <f>ROUND( VLOOKUP($B8,$L$2:$M$26, 2, FALSE) * (1+ VLOOKUP($A8,'vomcost mult'!$N$10:$R$32,5, FALSE)), 2)</f>
        <v>1.8</v>
      </c>
      <c r="L8" s="74" t="s">
        <v>246</v>
      </c>
      <c r="M8">
        <f>SUMIFS([1]unittypedata!$S:$S,[1]unittypedata!$C:$C, L8)</f>
        <v>1.6</v>
      </c>
    </row>
    <row r="9" spans="1:13">
      <c r="A9" t="s">
        <v>111</v>
      </c>
      <c r="B9" t="s">
        <v>243</v>
      </c>
      <c r="C9" s="19" t="s">
        <v>214</v>
      </c>
      <c r="D9" s="19">
        <v>1</v>
      </c>
      <c r="E9" s="19">
        <v>414.3</v>
      </c>
      <c r="F9" s="19">
        <f>ROUND( VLOOKUP($B9,$L$2:$M$26, 2, FALSE) * (1+ VLOOKUP($A9,'vomcost mult'!$N$10:$R$32,5, FALSE)), 2)</f>
        <v>1.24</v>
      </c>
      <c r="L9" t="s">
        <v>243</v>
      </c>
      <c r="M9">
        <f>SUMIFS([1]unittypedata!$S:$S,[1]unittypedata!$C:$C, L9)</f>
        <v>1.1000000000000001</v>
      </c>
    </row>
    <row r="10" spans="1:13">
      <c r="A10" t="s">
        <v>111</v>
      </c>
      <c r="B10" t="s">
        <v>244</v>
      </c>
      <c r="C10" s="19" t="s">
        <v>214</v>
      </c>
      <c r="D10" s="19">
        <v>1</v>
      </c>
      <c r="E10" s="19">
        <v>79.5</v>
      </c>
      <c r="F10" s="19">
        <f>ROUND( VLOOKUP($B10,$L$2:$M$26, 2, FALSE) * (1+ VLOOKUP($A10,'vomcost mult'!$N$10:$R$32,5, FALSE)), 2)</f>
        <v>1.24</v>
      </c>
      <c r="L10" s="74" t="s">
        <v>244</v>
      </c>
      <c r="M10">
        <f>SUMIFS([1]unittypedata!$S:$S,[1]unittypedata!$C:$C, L10)</f>
        <v>1.1000000000000001</v>
      </c>
    </row>
    <row r="11" spans="1:13">
      <c r="A11" t="s">
        <v>111</v>
      </c>
      <c r="B11" t="s">
        <v>254</v>
      </c>
      <c r="C11" s="19" t="s">
        <v>214</v>
      </c>
      <c r="D11" s="19">
        <v>1</v>
      </c>
      <c r="E11" s="19">
        <v>120</v>
      </c>
      <c r="F11" s="19">
        <f>ROUND( VLOOKUP($B11,$L$2:$M$26, 2, FALSE) * (1+ VLOOKUP($A11,'vomcost mult'!$N$10:$R$32,5, FALSE)), 2)</f>
        <v>1.24</v>
      </c>
      <c r="L11" t="s">
        <v>254</v>
      </c>
      <c r="M11">
        <f>SUMIFS([1]unittypedata!$S:$S,[1]unittypedata!$C:$C, L11)</f>
        <v>1.1000000000000001</v>
      </c>
    </row>
    <row r="12" spans="1:13">
      <c r="A12" t="s">
        <v>114</v>
      </c>
      <c r="B12" t="s">
        <v>237</v>
      </c>
      <c r="C12" s="19" t="s">
        <v>214</v>
      </c>
      <c r="D12" s="19">
        <v>1</v>
      </c>
      <c r="E12" s="19">
        <v>1775</v>
      </c>
      <c r="F12" s="19">
        <f>ROUND( VLOOKUP($B12,$L$2:$M$26, 2, FALSE) * (1+ VLOOKUP($A12,'vomcost mult'!$N$10:$R$32,5, FALSE)), 2)</f>
        <v>1.79</v>
      </c>
      <c r="L12" s="74" t="s">
        <v>248</v>
      </c>
      <c r="M12">
        <f>SUMIFS([1]unittypedata!$S:$S,[1]unittypedata!$C:$C, L12)</f>
        <v>3.3</v>
      </c>
    </row>
    <row r="13" spans="1:13">
      <c r="A13" t="s">
        <v>114</v>
      </c>
      <c r="B13" t="s">
        <v>242</v>
      </c>
      <c r="C13" s="19" t="s">
        <v>214</v>
      </c>
      <c r="D13" s="19">
        <v>1</v>
      </c>
      <c r="E13" s="19">
        <v>1732.1</v>
      </c>
      <c r="F13" s="19">
        <f>ROUND( VLOOKUP($B13,$L$2:$M$26, 2, FALSE) * (1+ VLOOKUP($A13,'vomcost mult'!$N$10:$R$32,5, FALSE)), 2)</f>
        <v>1.79</v>
      </c>
      <c r="L13" t="s">
        <v>251</v>
      </c>
      <c r="M13">
        <f>SUMIFS([1]unittypedata!$S:$S,[1]unittypedata!$C:$C, L13)</f>
        <v>3.3</v>
      </c>
    </row>
    <row r="14" spans="1:13">
      <c r="A14" t="s">
        <v>114</v>
      </c>
      <c r="B14" t="s">
        <v>245</v>
      </c>
      <c r="C14" s="19" t="s">
        <v>214</v>
      </c>
      <c r="D14" s="19">
        <v>1</v>
      </c>
      <c r="E14" s="19">
        <v>244</v>
      </c>
      <c r="F14" s="19">
        <f>ROUND( VLOOKUP($B14,$L$2:$M$26, 2, FALSE) * (1+ VLOOKUP($A14,'vomcost mult'!$N$10:$R$32,5, FALSE)), 2)</f>
        <v>1.79</v>
      </c>
      <c r="L14" s="74" t="s">
        <v>259</v>
      </c>
      <c r="M14">
        <v>3</v>
      </c>
    </row>
    <row r="15" spans="1:13">
      <c r="A15" t="s">
        <v>114</v>
      </c>
      <c r="B15" t="s">
        <v>244</v>
      </c>
      <c r="C15" s="19" t="s">
        <v>214</v>
      </c>
      <c r="D15" s="19">
        <v>1</v>
      </c>
      <c r="E15" s="19">
        <v>871</v>
      </c>
      <c r="F15" s="19">
        <f>ROUND( VLOOKUP($B15,$L$2:$M$26, 2, FALSE) * (1+ VLOOKUP($A15,'vomcost mult'!$N$10:$R$32,5, FALSE)), 2)</f>
        <v>1.23</v>
      </c>
      <c r="L15" t="s">
        <v>240</v>
      </c>
      <c r="M15">
        <f>SUMIFS([1]unittypedata!$S:$S,[1]unittypedata!$C:$C, L15)</f>
        <v>1.6</v>
      </c>
    </row>
    <row r="16" spans="1:13">
      <c r="A16" t="s">
        <v>114</v>
      </c>
      <c r="B16" t="s">
        <v>248</v>
      </c>
      <c r="C16" s="19" t="s">
        <v>214</v>
      </c>
      <c r="D16" s="19">
        <v>1</v>
      </c>
      <c r="E16" s="19">
        <v>354.4</v>
      </c>
      <c r="F16" s="19">
        <f>ROUND( VLOOKUP($B16,$L$2:$M$26, 2, FALSE) * (1+ VLOOKUP($A16,'vomcost mult'!$N$10:$R$32,5, FALSE)), 2)</f>
        <v>3.7</v>
      </c>
      <c r="L16" t="s">
        <v>261</v>
      </c>
      <c r="M16">
        <f>SUMIFS([1]unittypedata!$S:$S,[1]unittypedata!$C:$C, L16)</f>
        <v>3.3</v>
      </c>
    </row>
    <row r="17" spans="1:13">
      <c r="A17" t="s">
        <v>114</v>
      </c>
      <c r="B17" t="s">
        <v>251</v>
      </c>
      <c r="C17" s="19" t="s">
        <v>214</v>
      </c>
      <c r="D17" s="19">
        <v>1</v>
      </c>
      <c r="E17" s="19">
        <v>140</v>
      </c>
      <c r="F17" s="19">
        <f>ROUND( VLOOKUP($B17,$L$2:$M$26, 2, FALSE) * (1+ VLOOKUP($A17,'vomcost mult'!$N$10:$R$32,5, FALSE)), 2)</f>
        <v>3.7</v>
      </c>
      <c r="L17" s="74" t="s">
        <v>262</v>
      </c>
      <c r="M17">
        <f>SUMIFS([1]unittypedata!$S:$S,[1]unittypedata!$C:$C, L17)</f>
        <v>3.3</v>
      </c>
    </row>
    <row r="18" spans="1:13">
      <c r="A18" t="s">
        <v>114</v>
      </c>
      <c r="B18" t="s">
        <v>259</v>
      </c>
      <c r="C18" s="19" t="s">
        <v>214</v>
      </c>
      <c r="D18" s="19">
        <v>1</v>
      </c>
      <c r="E18" s="19">
        <v>1765.5</v>
      </c>
      <c r="F18" s="19">
        <f>ROUND( VLOOKUP($B18,$L$2:$M$26, 2, FALSE) * (1+ VLOOKUP($A18,'vomcost mult'!$N$10:$R$32,5, FALSE)), 2)</f>
        <v>3.36</v>
      </c>
      <c r="L18" s="74" t="s">
        <v>247</v>
      </c>
      <c r="M18">
        <f>SUMIFS([1]unittypedata!$S:$S,[1]unittypedata!$C:$C, L18)</f>
        <v>3.3</v>
      </c>
    </row>
    <row r="19" spans="1:13">
      <c r="A19" t="s">
        <v>114</v>
      </c>
      <c r="B19" t="s">
        <v>276</v>
      </c>
      <c r="C19" s="19" t="s">
        <v>214</v>
      </c>
      <c r="D19" s="19">
        <v>1</v>
      </c>
      <c r="E19" s="19">
        <v>311.60000000000002</v>
      </c>
      <c r="F19" s="19">
        <f>ROUND( VLOOKUP($B19,$L$2:$M$26, 2, FALSE) * (1+ VLOOKUP($A19,'vomcost mult'!$N$10:$R$32,5, FALSE)), 2)</f>
        <v>3.36</v>
      </c>
      <c r="L19" s="74" t="s">
        <v>249</v>
      </c>
      <c r="M19">
        <f>SUMIFS([1]unittypedata!$S:$S,[1]unittypedata!$C:$C, L19)</f>
        <v>3.3</v>
      </c>
    </row>
    <row r="20" spans="1:13">
      <c r="A20" t="s">
        <v>116</v>
      </c>
      <c r="B20" t="s">
        <v>259</v>
      </c>
      <c r="C20" s="19" t="s">
        <v>214</v>
      </c>
      <c r="D20" s="19">
        <v>1</v>
      </c>
      <c r="E20" s="19">
        <v>1011.5</v>
      </c>
      <c r="F20" s="19">
        <f>ROUND( VLOOKUP($B20,$L$2:$M$26, 2, FALSE) * (1+ VLOOKUP($A20,'vomcost mult'!$N$10:$R$32,5, FALSE)), 2)</f>
        <v>4.37</v>
      </c>
      <c r="L20" t="s">
        <v>250</v>
      </c>
      <c r="M20">
        <f>SUMIFS([1]unittypedata!$S:$S,[1]unittypedata!$C:$C, L20)</f>
        <v>3.3</v>
      </c>
    </row>
    <row r="21" spans="1:13">
      <c r="A21" t="s">
        <v>116</v>
      </c>
      <c r="B21" t="s">
        <v>276</v>
      </c>
      <c r="C21" s="19" t="s">
        <v>214</v>
      </c>
      <c r="D21" s="19">
        <v>1</v>
      </c>
      <c r="E21" s="19">
        <v>178.5</v>
      </c>
      <c r="F21" s="19">
        <f>ROUND( VLOOKUP($B21,$L$2:$M$26, 2, FALSE) * (1+ VLOOKUP($A21,'vomcost mult'!$N$10:$R$32,5, FALSE)), 2)</f>
        <v>4.37</v>
      </c>
      <c r="L21" s="74" t="s">
        <v>256</v>
      </c>
      <c r="M21">
        <f>SUMIFS([1]unittypedata!$S:$S,[1]unittypedata!$C:$C, L21)</f>
        <v>3.3</v>
      </c>
    </row>
    <row r="22" spans="1:13">
      <c r="A22" t="s">
        <v>117</v>
      </c>
      <c r="B22" t="s">
        <v>237</v>
      </c>
      <c r="C22" s="19" t="s">
        <v>214</v>
      </c>
      <c r="D22" s="19">
        <v>1</v>
      </c>
      <c r="E22" s="19">
        <v>1620.4</v>
      </c>
      <c r="F22" s="19">
        <f>ROUND( VLOOKUP($B22,$L$2:$M$26, 2, FALSE) * (1+ VLOOKUP($A22,'vomcost mult'!$N$10:$R$32,5, FALSE)), 2)</f>
        <v>1.77</v>
      </c>
      <c r="L22" t="s">
        <v>258</v>
      </c>
      <c r="M22">
        <f>SUMIFS([1]unittypedata!$S:$S,[1]unittypedata!$C:$C, L22)</f>
        <v>3.3</v>
      </c>
    </row>
    <row r="23" spans="1:13">
      <c r="A23" t="s">
        <v>117</v>
      </c>
      <c r="B23" t="s">
        <v>238</v>
      </c>
      <c r="C23" s="19" t="s">
        <v>214</v>
      </c>
      <c r="D23" s="19">
        <v>1</v>
      </c>
      <c r="E23" s="19">
        <v>53.6</v>
      </c>
      <c r="F23" s="19">
        <f>ROUND( VLOOKUP($B23,$L$2:$M$26, 2, FALSE) * (1+ VLOOKUP($A23,'vomcost mult'!$N$10:$R$32,5, FALSE)), 2)</f>
        <v>1.77</v>
      </c>
      <c r="L23" t="s">
        <v>234</v>
      </c>
      <c r="M23">
        <f>SUMIFS([1]unittypedata!$S:$S,[1]unittypedata!$C:$C, L23)</f>
        <v>3.2</v>
      </c>
    </row>
    <row r="24" spans="1:13">
      <c r="A24" t="s">
        <v>117</v>
      </c>
      <c r="B24" t="s">
        <v>239</v>
      </c>
      <c r="C24" s="19" t="s">
        <v>214</v>
      </c>
      <c r="D24" s="19">
        <v>1</v>
      </c>
      <c r="E24" s="19">
        <v>460.4</v>
      </c>
      <c r="F24" s="19">
        <f>ROUND( VLOOKUP($B24,$L$2:$M$26, 2, FALSE) * (1+ VLOOKUP($A24,'vomcost mult'!$N$10:$R$32,5, FALSE)), 2)</f>
        <v>1.77</v>
      </c>
      <c r="L24" s="74" t="s">
        <v>253</v>
      </c>
      <c r="M24">
        <f>SUMIFS([1]unittypedata!$S:$S,[1]unittypedata!$C:$C, L24)</f>
        <v>3.3</v>
      </c>
    </row>
    <row r="25" spans="1:13">
      <c r="A25" t="s">
        <v>117</v>
      </c>
      <c r="B25" t="s">
        <v>241</v>
      </c>
      <c r="C25" s="19" t="s">
        <v>214</v>
      </c>
      <c r="D25" s="19">
        <v>1</v>
      </c>
      <c r="E25" s="19">
        <v>1658.6</v>
      </c>
      <c r="F25" s="19">
        <f>ROUND( VLOOKUP($B25,$L$2:$M$26, 2, FALSE) * (1+ VLOOKUP($A25,'vomcost mult'!$N$10:$R$32,5, FALSE)), 2)</f>
        <v>1.77</v>
      </c>
      <c r="L25" s="74" t="s">
        <v>257</v>
      </c>
      <c r="M25">
        <f>SUMIFS([1]unittypedata!$S:$S,[1]unittypedata!$C:$C, L25)</f>
        <v>3.3</v>
      </c>
    </row>
    <row r="26" spans="1:13">
      <c r="A26" t="s">
        <v>117</v>
      </c>
      <c r="B26" t="s">
        <v>242</v>
      </c>
      <c r="C26" s="19" t="s">
        <v>214</v>
      </c>
      <c r="D26" s="19">
        <v>1</v>
      </c>
      <c r="E26" s="19">
        <v>18452.900000000001</v>
      </c>
      <c r="F26" s="19">
        <f>ROUND( VLOOKUP($B26,$L$2:$M$26, 2, FALSE) * (1+ VLOOKUP($A26,'vomcost mult'!$N$10:$R$32,5, FALSE)), 2)</f>
        <v>1.77</v>
      </c>
      <c r="L26" s="74" t="s">
        <v>276</v>
      </c>
      <c r="M26">
        <v>3</v>
      </c>
    </row>
    <row r="27" spans="1:13">
      <c r="A27" t="s">
        <v>117</v>
      </c>
      <c r="B27" t="s">
        <v>245</v>
      </c>
      <c r="C27" s="19" t="s">
        <v>214</v>
      </c>
      <c r="D27" s="19">
        <v>1</v>
      </c>
      <c r="E27" s="19">
        <v>2355.8000000000002</v>
      </c>
      <c r="F27" s="19">
        <f>ROUND( VLOOKUP($B27,$L$2:$M$26, 2, FALSE) * (1+ VLOOKUP($A27,'vomcost mult'!$N$10:$R$32,5, FALSE)), 2)</f>
        <v>1.77</v>
      </c>
    </row>
    <row r="28" spans="1:13">
      <c r="A28" t="s">
        <v>117</v>
      </c>
      <c r="B28" t="s">
        <v>246</v>
      </c>
      <c r="C28" s="19" t="s">
        <v>214</v>
      </c>
      <c r="D28" s="19">
        <v>1</v>
      </c>
      <c r="E28" s="19">
        <v>43.3</v>
      </c>
      <c r="F28" s="19">
        <f>ROUND( VLOOKUP($B28,$L$2:$M$26, 2, FALSE) * (1+ VLOOKUP($A28,'vomcost mult'!$N$10:$R$32,5, FALSE)), 2)</f>
        <v>1.77</v>
      </c>
    </row>
    <row r="29" spans="1:13">
      <c r="A29" t="s">
        <v>117</v>
      </c>
      <c r="B29" t="s">
        <v>243</v>
      </c>
      <c r="C29" s="19" t="s">
        <v>214</v>
      </c>
      <c r="D29" s="19">
        <v>1</v>
      </c>
      <c r="E29" s="19">
        <v>109.7</v>
      </c>
      <c r="F29" s="19">
        <f>ROUND( VLOOKUP($B29,$L$2:$M$26, 2, FALSE) * (1+ VLOOKUP($A29,'vomcost mult'!$N$10:$R$32,5, FALSE)), 2)</f>
        <v>1.22</v>
      </c>
    </row>
    <row r="30" spans="1:13">
      <c r="A30" t="s">
        <v>117</v>
      </c>
      <c r="B30" t="s">
        <v>244</v>
      </c>
      <c r="C30" s="19" t="s">
        <v>214</v>
      </c>
      <c r="D30" s="19">
        <v>1</v>
      </c>
      <c r="E30" s="19">
        <v>945.1</v>
      </c>
      <c r="F30" s="19">
        <f>ROUND( VLOOKUP($B30,$L$2:$M$26, 2, FALSE) * (1+ VLOOKUP($A30,'vomcost mult'!$N$10:$R$32,5, FALSE)), 2)</f>
        <v>1.22</v>
      </c>
    </row>
    <row r="31" spans="1:13">
      <c r="A31" t="s">
        <v>117</v>
      </c>
      <c r="B31" t="s">
        <v>254</v>
      </c>
      <c r="C31" s="19" t="s">
        <v>214</v>
      </c>
      <c r="D31" s="19">
        <v>1</v>
      </c>
      <c r="E31" s="19">
        <v>1585.3</v>
      </c>
      <c r="F31" s="19">
        <f>ROUND( VLOOKUP($B31,$L$2:$M$26, 2, FALSE) * (1+ VLOOKUP($A31,'vomcost mult'!$N$10:$R$32,5, FALSE)), 2)</f>
        <v>1.22</v>
      </c>
    </row>
    <row r="32" spans="1:13">
      <c r="A32" t="s">
        <v>118</v>
      </c>
      <c r="B32" t="s">
        <v>239</v>
      </c>
      <c r="C32" s="19" t="s">
        <v>214</v>
      </c>
      <c r="D32" s="19">
        <v>1</v>
      </c>
      <c r="E32" s="19">
        <v>57.8</v>
      </c>
      <c r="F32" s="19">
        <f>ROUND( VLOOKUP($B32,$L$2:$M$26, 2, FALSE) * (1+ VLOOKUP($A32,'vomcost mult'!$N$10:$R$32,5, FALSE)), 2)</f>
        <v>2</v>
      </c>
    </row>
    <row r="33" spans="1:6">
      <c r="A33" t="s">
        <v>118</v>
      </c>
      <c r="B33" t="s">
        <v>240</v>
      </c>
      <c r="C33" s="19" t="s">
        <v>214</v>
      </c>
      <c r="D33" s="19">
        <v>1</v>
      </c>
      <c r="E33" s="19">
        <v>54.6</v>
      </c>
      <c r="F33" s="19">
        <f>ROUND( VLOOKUP($B33,$L$2:$M$26, 2, FALSE) * (1+ VLOOKUP($A33,'vomcost mult'!$N$10:$R$32,5, FALSE)), 2)</f>
        <v>2</v>
      </c>
    </row>
    <row r="34" spans="1:6">
      <c r="A34" t="s">
        <v>118</v>
      </c>
      <c r="B34" t="s">
        <v>245</v>
      </c>
      <c r="C34" s="19" t="s">
        <v>214</v>
      </c>
      <c r="D34" s="19">
        <v>1</v>
      </c>
      <c r="E34" s="19">
        <v>72</v>
      </c>
      <c r="F34" s="19">
        <f>ROUND( VLOOKUP($B34,$L$2:$M$26, 2, FALSE) * (1+ VLOOKUP($A34,'vomcost mult'!$N$10:$R$32,5, FALSE)), 2)</f>
        <v>2</v>
      </c>
    </row>
    <row r="35" spans="1:6">
      <c r="A35" t="s">
        <v>118</v>
      </c>
      <c r="B35" t="s">
        <v>246</v>
      </c>
      <c r="C35" s="19" t="s">
        <v>214</v>
      </c>
      <c r="D35" s="19">
        <v>1</v>
      </c>
      <c r="E35" s="19">
        <v>103.1</v>
      </c>
      <c r="F35" s="19">
        <f>ROUND( VLOOKUP($B35,$L$2:$M$26, 2, FALSE) * (1+ VLOOKUP($A35,'vomcost mult'!$N$10:$R$32,5, FALSE)), 2)</f>
        <v>2</v>
      </c>
    </row>
    <row r="36" spans="1:6">
      <c r="A36" t="s">
        <v>118</v>
      </c>
      <c r="B36" t="s">
        <v>248</v>
      </c>
      <c r="C36" s="19" t="s">
        <v>214</v>
      </c>
      <c r="D36" s="19">
        <v>1</v>
      </c>
      <c r="E36" s="19">
        <v>1165.5</v>
      </c>
      <c r="F36" s="19">
        <f>ROUND( VLOOKUP($B36,$L$2:$M$26, 2, FALSE) * (1+ VLOOKUP($A36,'vomcost mult'!$N$10:$R$32,5, FALSE)), 2)</f>
        <v>4.13</v>
      </c>
    </row>
    <row r="37" spans="1:6">
      <c r="A37" t="s">
        <v>118</v>
      </c>
      <c r="B37" t="s">
        <v>251</v>
      </c>
      <c r="C37" s="19" t="s">
        <v>214</v>
      </c>
      <c r="D37" s="19">
        <v>1</v>
      </c>
      <c r="E37" s="19">
        <v>65.099999999999994</v>
      </c>
      <c r="F37" s="19">
        <f>ROUND( VLOOKUP($B37,$L$2:$M$26, 2, FALSE) * (1+ VLOOKUP($A37,'vomcost mult'!$N$10:$R$32,5, FALSE)), 2)</f>
        <v>4.13</v>
      </c>
    </row>
    <row r="38" spans="1:6">
      <c r="A38" t="s">
        <v>118</v>
      </c>
      <c r="B38" t="s">
        <v>254</v>
      </c>
      <c r="C38" s="19" t="s">
        <v>214</v>
      </c>
      <c r="D38" s="19">
        <v>1</v>
      </c>
      <c r="E38" s="19">
        <v>531</v>
      </c>
      <c r="F38" s="19">
        <f>ROUND( VLOOKUP($B38,$L$2:$M$26, 2, FALSE) * (1+ VLOOKUP($A38,'vomcost mult'!$N$10:$R$32,5, FALSE)), 2)</f>
        <v>1.38</v>
      </c>
    </row>
    <row r="39" spans="1:6">
      <c r="A39" t="s">
        <v>119</v>
      </c>
      <c r="B39" t="s">
        <v>238</v>
      </c>
      <c r="C39" s="19" t="s">
        <v>214</v>
      </c>
      <c r="D39" s="19">
        <v>1</v>
      </c>
      <c r="E39" s="19">
        <v>47.2</v>
      </c>
      <c r="F39" s="19">
        <f>ROUND( VLOOKUP($B39,$L$2:$M$26, 2, FALSE) * (1+ VLOOKUP($A39,'vomcost mult'!$N$10:$R$32,5, FALSE)), 2)</f>
        <v>1.98</v>
      </c>
    </row>
    <row r="40" spans="1:6">
      <c r="A40" t="s">
        <v>119</v>
      </c>
      <c r="B40" t="s">
        <v>239</v>
      </c>
      <c r="C40" s="19" t="s">
        <v>214</v>
      </c>
      <c r="D40" s="19">
        <v>1</v>
      </c>
      <c r="E40" s="19">
        <v>54.3</v>
      </c>
      <c r="F40" s="19">
        <f>ROUND( VLOOKUP($B40,$L$2:$M$26, 2, FALSE) * (1+ VLOOKUP($A40,'vomcost mult'!$N$10:$R$32,5, FALSE)), 2)</f>
        <v>1.98</v>
      </c>
    </row>
    <row r="41" spans="1:6">
      <c r="A41" t="s">
        <v>119</v>
      </c>
      <c r="B41" t="s">
        <v>240</v>
      </c>
      <c r="C41" s="19" t="s">
        <v>214</v>
      </c>
      <c r="D41" s="19">
        <v>1</v>
      </c>
      <c r="E41" s="19">
        <v>129.6</v>
      </c>
      <c r="F41" s="19">
        <f>ROUND( VLOOKUP($B41,$L$2:$M$26, 2, FALSE) * (1+ VLOOKUP($A41,'vomcost mult'!$N$10:$R$32,5, FALSE)), 2)</f>
        <v>1.98</v>
      </c>
    </row>
    <row r="42" spans="1:6">
      <c r="A42" t="s">
        <v>119</v>
      </c>
      <c r="B42" t="s">
        <v>245</v>
      </c>
      <c r="C42" s="19" t="s">
        <v>214</v>
      </c>
      <c r="D42" s="19">
        <v>1</v>
      </c>
      <c r="E42" s="19">
        <v>69.7</v>
      </c>
      <c r="F42" s="19">
        <f>ROUND( VLOOKUP($B42,$L$2:$M$26, 2, FALSE) * (1+ VLOOKUP($A42,'vomcost mult'!$N$10:$R$32,5, FALSE)), 2)</f>
        <v>1.98</v>
      </c>
    </row>
    <row r="43" spans="1:6">
      <c r="A43" t="s">
        <v>119</v>
      </c>
      <c r="B43" t="s">
        <v>246</v>
      </c>
      <c r="C43" s="19" t="s">
        <v>214</v>
      </c>
      <c r="D43" s="19">
        <v>1</v>
      </c>
      <c r="E43" s="19">
        <v>448.2</v>
      </c>
      <c r="F43" s="19">
        <f>ROUND( VLOOKUP($B43,$L$2:$M$26, 2, FALSE) * (1+ VLOOKUP($A43,'vomcost mult'!$N$10:$R$32,5, FALSE)), 2)</f>
        <v>1.98</v>
      </c>
    </row>
    <row r="44" spans="1:6">
      <c r="A44" t="s">
        <v>119</v>
      </c>
      <c r="B44" t="s">
        <v>243</v>
      </c>
      <c r="C44" s="19" t="s">
        <v>214</v>
      </c>
      <c r="D44" s="19">
        <v>1</v>
      </c>
      <c r="E44" s="19">
        <v>111.7</v>
      </c>
      <c r="F44" s="19">
        <f>ROUND( VLOOKUP($B44,$L$2:$M$26, 2, FALSE) * (1+ VLOOKUP($A44,'vomcost mult'!$N$10:$R$32,5, FALSE)), 2)</f>
        <v>1.36</v>
      </c>
    </row>
    <row r="45" spans="1:6">
      <c r="A45" t="s">
        <v>119</v>
      </c>
      <c r="B45" t="s">
        <v>244</v>
      </c>
      <c r="C45" s="19" t="s">
        <v>214</v>
      </c>
      <c r="D45" s="19">
        <v>1</v>
      </c>
      <c r="E45" s="19">
        <v>375.4</v>
      </c>
      <c r="F45" s="19">
        <f>ROUND( VLOOKUP($B45,$L$2:$M$26, 2, FALSE) * (1+ VLOOKUP($A45,'vomcost mult'!$N$10:$R$32,5, FALSE)), 2)</f>
        <v>1.36</v>
      </c>
    </row>
    <row r="46" spans="1:6">
      <c r="A46" t="s">
        <v>119</v>
      </c>
      <c r="B46" t="s">
        <v>248</v>
      </c>
      <c r="C46" s="19" t="s">
        <v>214</v>
      </c>
      <c r="D46" s="19">
        <v>1</v>
      </c>
      <c r="E46" s="19">
        <v>778.1</v>
      </c>
      <c r="F46" s="19">
        <f>ROUND( VLOOKUP($B46,$L$2:$M$26, 2, FALSE) * (1+ VLOOKUP($A46,'vomcost mult'!$N$10:$R$32,5, FALSE)), 2)</f>
        <v>4.09</v>
      </c>
    </row>
    <row r="47" spans="1:6">
      <c r="A47" t="s">
        <v>119</v>
      </c>
      <c r="B47" t="s">
        <v>254</v>
      </c>
      <c r="C47" s="19" t="s">
        <v>214</v>
      </c>
      <c r="D47" s="19">
        <v>1</v>
      </c>
      <c r="E47" s="19">
        <v>165.8</v>
      </c>
      <c r="F47" s="19">
        <f>ROUND( VLOOKUP($B47,$L$2:$M$26, 2, FALSE) * (1+ VLOOKUP($A47,'vomcost mult'!$N$10:$R$32,5, FALSE)), 2)</f>
        <v>1.36</v>
      </c>
    </row>
    <row r="48" spans="1:6">
      <c r="A48" t="s">
        <v>120</v>
      </c>
      <c r="B48" t="s">
        <v>237</v>
      </c>
      <c r="C48" s="19" t="s">
        <v>214</v>
      </c>
      <c r="D48" s="19">
        <v>1</v>
      </c>
      <c r="E48" s="19">
        <v>250</v>
      </c>
      <c r="F48" s="19">
        <f>ROUND( VLOOKUP($B48,$L$2:$M$26, 2, FALSE) * (1+ VLOOKUP($A48,'vomcost mult'!$N$10:$R$32,5, FALSE)), 2)</f>
        <v>1.27</v>
      </c>
    </row>
    <row r="49" spans="1:6">
      <c r="A49" t="s">
        <v>120</v>
      </c>
      <c r="B49" t="s">
        <v>261</v>
      </c>
      <c r="C49" s="19" t="s">
        <v>214</v>
      </c>
      <c r="D49" s="19">
        <v>1</v>
      </c>
      <c r="E49" s="19">
        <v>658</v>
      </c>
      <c r="F49" s="19">
        <f>ROUND( VLOOKUP($B49,$L$2:$M$26, 2, FALSE) * (1+ VLOOKUP($A49,'vomcost mult'!$N$10:$R$32,5, FALSE)), 2)</f>
        <v>2.63</v>
      </c>
    </row>
    <row r="50" spans="1:6">
      <c r="A50" t="s">
        <v>120</v>
      </c>
      <c r="B50" t="s">
        <v>262</v>
      </c>
      <c r="C50" s="19" t="s">
        <v>214</v>
      </c>
      <c r="D50" s="19">
        <v>1</v>
      </c>
      <c r="E50" s="19">
        <v>173</v>
      </c>
      <c r="F50" s="19">
        <f>ROUND( VLOOKUP($B50,$L$2:$M$26, 2, FALSE) * (1+ VLOOKUP($A50,'vomcost mult'!$N$10:$R$32,5, FALSE)), 2)</f>
        <v>2.63</v>
      </c>
    </row>
    <row r="51" spans="1:6">
      <c r="A51" t="s">
        <v>121</v>
      </c>
      <c r="B51" t="s">
        <v>241</v>
      </c>
      <c r="C51" s="19" t="s">
        <v>214</v>
      </c>
      <c r="D51" s="19">
        <v>1</v>
      </c>
      <c r="E51" s="19">
        <v>24498</v>
      </c>
      <c r="F51" s="19">
        <f>ROUND( VLOOKUP($B51,$L$2:$M$26, 2, FALSE) * (1+ VLOOKUP($A51,'vomcost mult'!$N$10:$R$32,5, FALSE)), 2)</f>
        <v>1.47</v>
      </c>
    </row>
    <row r="52" spans="1:6">
      <c r="A52" t="s">
        <v>121</v>
      </c>
      <c r="B52" t="s">
        <v>259</v>
      </c>
      <c r="C52" s="19" t="s">
        <v>214</v>
      </c>
      <c r="D52" s="19">
        <v>1</v>
      </c>
      <c r="E52" s="19">
        <v>4335.3</v>
      </c>
      <c r="F52" s="19">
        <f>ROUND( VLOOKUP($B52,$L$2:$M$26, 2, FALSE) * (1+ VLOOKUP($A52,'vomcost mult'!$N$10:$R$32,5, FALSE)), 2)</f>
        <v>2.75</v>
      </c>
    </row>
    <row r="53" spans="1:6">
      <c r="A53" t="s">
        <v>121</v>
      </c>
      <c r="B53" t="s">
        <v>276</v>
      </c>
      <c r="C53" s="19" t="s">
        <v>214</v>
      </c>
      <c r="D53" s="19">
        <v>1</v>
      </c>
      <c r="E53" s="19">
        <v>765.1</v>
      </c>
      <c r="F53" s="19">
        <f>ROUND( VLOOKUP($B53,$L$2:$M$26, 2, FALSE) * (1+ VLOOKUP($A53,'vomcost mult'!$N$10:$R$32,5, FALSE)), 2)</f>
        <v>2.75</v>
      </c>
    </row>
    <row r="54" spans="1:6">
      <c r="A54" t="s">
        <v>122</v>
      </c>
      <c r="B54" t="s">
        <v>237</v>
      </c>
      <c r="C54" s="19" t="s">
        <v>214</v>
      </c>
      <c r="D54" s="19">
        <v>1</v>
      </c>
      <c r="E54" s="19">
        <v>45</v>
      </c>
      <c r="F54" s="19">
        <f>ROUND( VLOOKUP($B54,$L$2:$M$26, 2, FALSE) * (1+ VLOOKUP($A54,'vomcost mult'!$N$10:$R$32,5, FALSE)), 2)</f>
        <v>1.77</v>
      </c>
    </row>
    <row r="55" spans="1:6">
      <c r="A55" t="s">
        <v>122</v>
      </c>
      <c r="B55" t="s">
        <v>239</v>
      </c>
      <c r="C55" s="19" t="s">
        <v>214</v>
      </c>
      <c r="D55" s="19">
        <v>1</v>
      </c>
      <c r="E55" s="19">
        <v>640</v>
      </c>
      <c r="F55" s="19">
        <f>ROUND( VLOOKUP($B55,$L$2:$M$26, 2, FALSE) * (1+ VLOOKUP($A55,'vomcost mult'!$N$10:$R$32,5, FALSE)), 2)</f>
        <v>1.77</v>
      </c>
    </row>
    <row r="56" spans="1:6">
      <c r="A56" t="s">
        <v>122</v>
      </c>
      <c r="B56" t="s">
        <v>241</v>
      </c>
      <c r="C56" s="19" t="s">
        <v>214</v>
      </c>
      <c r="D56" s="19">
        <v>1</v>
      </c>
      <c r="E56" s="19">
        <v>234</v>
      </c>
      <c r="F56" s="19">
        <f>ROUND( VLOOKUP($B56,$L$2:$M$26, 2, FALSE) * (1+ VLOOKUP($A56,'vomcost mult'!$N$10:$R$32,5, FALSE)), 2)</f>
        <v>1.77</v>
      </c>
    </row>
    <row r="57" spans="1:6">
      <c r="A57" t="s">
        <v>122</v>
      </c>
      <c r="B57" t="s">
        <v>245</v>
      </c>
      <c r="C57" s="19" t="s">
        <v>214</v>
      </c>
      <c r="D57" s="19">
        <v>1</v>
      </c>
      <c r="E57" s="19">
        <v>87</v>
      </c>
      <c r="F57" s="19">
        <f>ROUND( VLOOKUP($B57,$L$2:$M$26, 2, FALSE) * (1+ VLOOKUP($A57,'vomcost mult'!$N$10:$R$32,5, FALSE)), 2)</f>
        <v>1.77</v>
      </c>
    </row>
    <row r="58" spans="1:6">
      <c r="A58" t="s">
        <v>122</v>
      </c>
      <c r="B58" t="s">
        <v>246</v>
      </c>
      <c r="C58" s="19" t="s">
        <v>214</v>
      </c>
      <c r="D58" s="19">
        <v>1</v>
      </c>
      <c r="E58" s="19">
        <v>38</v>
      </c>
      <c r="F58" s="19">
        <f>ROUND( VLOOKUP($B58,$L$2:$M$26, 2, FALSE) * (1+ VLOOKUP($A58,'vomcost mult'!$N$10:$R$32,5, FALSE)), 2)</f>
        <v>1.77</v>
      </c>
    </row>
    <row r="59" spans="1:6">
      <c r="A59" t="s">
        <v>122</v>
      </c>
      <c r="B59" t="s">
        <v>248</v>
      </c>
      <c r="C59" s="19" t="s">
        <v>214</v>
      </c>
      <c r="D59" s="19">
        <v>1</v>
      </c>
      <c r="E59" s="19">
        <v>1196</v>
      </c>
      <c r="F59" s="19">
        <f>ROUND( VLOOKUP($B59,$L$2:$M$26, 2, FALSE) * (1+ VLOOKUP($A59,'vomcost mult'!$N$10:$R$32,5, FALSE)), 2)</f>
        <v>3.66</v>
      </c>
    </row>
    <row r="60" spans="1:6">
      <c r="A60" t="s">
        <v>122</v>
      </c>
      <c r="B60" t="s">
        <v>259</v>
      </c>
      <c r="C60" s="19" t="s">
        <v>214</v>
      </c>
      <c r="D60" s="19">
        <v>1</v>
      </c>
      <c r="E60" s="19">
        <v>3734.9</v>
      </c>
      <c r="F60" s="19">
        <f>ROUND( VLOOKUP($B60,$L$2:$M$26, 2, FALSE) * (1+ VLOOKUP($A60,'vomcost mult'!$N$10:$R$32,5, FALSE)), 2)</f>
        <v>3.32</v>
      </c>
    </row>
    <row r="61" spans="1:6">
      <c r="A61" t="s">
        <v>122</v>
      </c>
      <c r="B61" t="s">
        <v>276</v>
      </c>
      <c r="C61" s="19" t="s">
        <v>214</v>
      </c>
      <c r="D61" s="19">
        <v>1</v>
      </c>
      <c r="E61" s="19">
        <v>659.1</v>
      </c>
      <c r="F61" s="19">
        <f>ROUND( VLOOKUP($B61,$L$2:$M$26, 2, FALSE) * (1+ VLOOKUP($A61,'vomcost mult'!$N$10:$R$32,5, FALSE)), 2)</f>
        <v>3.32</v>
      </c>
    </row>
    <row r="62" spans="1:6">
      <c r="A62" t="s">
        <v>123</v>
      </c>
      <c r="B62" t="s">
        <v>237</v>
      </c>
      <c r="C62" s="19" t="s">
        <v>214</v>
      </c>
      <c r="D62" s="19">
        <v>1</v>
      </c>
      <c r="E62" s="19">
        <v>414</v>
      </c>
      <c r="F62" s="19">
        <f>ROUND( VLOOKUP($B62,$L$2:$M$26, 2, FALSE) * (1+ VLOOKUP($A62,'vomcost mult'!$N$10:$R$32,5, FALSE)), 2)</f>
        <v>1.69</v>
      </c>
    </row>
    <row r="63" spans="1:6">
      <c r="A63" t="s">
        <v>123</v>
      </c>
      <c r="B63" t="s">
        <v>241</v>
      </c>
      <c r="C63" s="19" t="s">
        <v>214</v>
      </c>
      <c r="D63" s="19">
        <v>1</v>
      </c>
      <c r="E63" s="19">
        <v>792</v>
      </c>
      <c r="F63" s="19">
        <f>ROUND( VLOOKUP($B63,$L$2:$M$26, 2, FALSE) * (1+ VLOOKUP($A63,'vomcost mult'!$N$10:$R$32,5, FALSE)), 2)</f>
        <v>1.69</v>
      </c>
    </row>
    <row r="64" spans="1:6">
      <c r="A64" t="s">
        <v>123</v>
      </c>
      <c r="B64" t="s">
        <v>242</v>
      </c>
      <c r="C64" s="19" t="s">
        <v>214</v>
      </c>
      <c r="D64" s="19">
        <v>1</v>
      </c>
      <c r="E64" s="19">
        <v>5347</v>
      </c>
      <c r="F64" s="19">
        <f>ROUND( VLOOKUP($B64,$L$2:$M$26, 2, FALSE) * (1+ VLOOKUP($A64,'vomcost mult'!$N$10:$R$32,5, FALSE)), 2)</f>
        <v>1.69</v>
      </c>
    </row>
    <row r="65" spans="1:6">
      <c r="A65" t="s">
        <v>123</v>
      </c>
      <c r="B65" t="s">
        <v>245</v>
      </c>
      <c r="C65" s="19" t="s">
        <v>214</v>
      </c>
      <c r="D65" s="19">
        <v>1</v>
      </c>
      <c r="E65" s="19">
        <v>437</v>
      </c>
      <c r="F65" s="19">
        <f>ROUND( VLOOKUP($B65,$L$2:$M$26, 2, FALSE) * (1+ VLOOKUP($A65,'vomcost mult'!$N$10:$R$32,5, FALSE)), 2)</f>
        <v>1.69</v>
      </c>
    </row>
    <row r="66" spans="1:6">
      <c r="A66" t="s">
        <v>123</v>
      </c>
      <c r="B66" t="s">
        <v>246</v>
      </c>
      <c r="C66" s="19" t="s">
        <v>214</v>
      </c>
      <c r="D66" s="19">
        <v>1</v>
      </c>
      <c r="E66" s="19">
        <v>199</v>
      </c>
      <c r="F66" s="19">
        <f>ROUND( VLOOKUP($B66,$L$2:$M$26, 2, FALSE) * (1+ VLOOKUP($A66,'vomcost mult'!$N$10:$R$32,5, FALSE)), 2)</f>
        <v>1.69</v>
      </c>
    </row>
    <row r="67" spans="1:6">
      <c r="A67" t="s">
        <v>123</v>
      </c>
      <c r="B67" t="s">
        <v>254</v>
      </c>
      <c r="C67" s="19" t="s">
        <v>214</v>
      </c>
      <c r="D67" s="19">
        <v>1</v>
      </c>
      <c r="E67" s="19">
        <v>1255</v>
      </c>
      <c r="F67" s="19">
        <f>ROUND( VLOOKUP($B67,$L$2:$M$26, 2, FALSE) * (1+ VLOOKUP($A67,'vomcost mult'!$N$10:$R$32,5, FALSE)), 2)</f>
        <v>1.1599999999999999</v>
      </c>
    </row>
    <row r="68" spans="1:6">
      <c r="A68" t="s">
        <v>123</v>
      </c>
      <c r="B68" t="s">
        <v>259</v>
      </c>
      <c r="C68" s="19" t="s">
        <v>214</v>
      </c>
      <c r="D68" s="19">
        <v>1</v>
      </c>
      <c r="E68" s="19">
        <v>24704.400000000001</v>
      </c>
      <c r="F68" s="19">
        <f>ROUND( VLOOKUP($B68,$L$2:$M$26, 2, FALSE) * (1+ VLOOKUP($A68,'vomcost mult'!$N$10:$R$32,5, FALSE)), 2)</f>
        <v>3.16</v>
      </c>
    </row>
    <row r="69" spans="1:6">
      <c r="A69" t="s">
        <v>123</v>
      </c>
      <c r="B69" t="s">
        <v>276</v>
      </c>
      <c r="C69" s="19" t="s">
        <v>214</v>
      </c>
      <c r="D69" s="19">
        <v>1</v>
      </c>
      <c r="E69" s="19">
        <v>37056.6</v>
      </c>
      <c r="F69" s="19">
        <f>ROUND( VLOOKUP($B69,$L$2:$M$26, 2, FALSE) * (1+ VLOOKUP($A69,'vomcost mult'!$N$10:$R$32,5, FALSE)), 2)</f>
        <v>3.16</v>
      </c>
    </row>
    <row r="70" spans="1:6">
      <c r="A70" t="s">
        <v>124</v>
      </c>
      <c r="B70" t="s">
        <v>237</v>
      </c>
      <c r="C70" s="19" t="s">
        <v>214</v>
      </c>
      <c r="D70" s="19">
        <v>1</v>
      </c>
      <c r="E70" s="19">
        <v>510</v>
      </c>
      <c r="F70" s="19">
        <f>ROUND( VLOOKUP($B70,$L$2:$M$26, 2, FALSE) * (1+ VLOOKUP($A70,'vomcost mult'!$N$10:$R$32,5, FALSE)), 2)</f>
        <v>1.23</v>
      </c>
    </row>
    <row r="71" spans="1:6">
      <c r="A71" t="s">
        <v>124</v>
      </c>
      <c r="B71" t="s">
        <v>242</v>
      </c>
      <c r="C71" s="19" t="s">
        <v>214</v>
      </c>
      <c r="D71" s="19">
        <v>1</v>
      </c>
      <c r="E71" s="19">
        <v>403</v>
      </c>
      <c r="F71" s="19">
        <f>ROUND( VLOOKUP($B71,$L$2:$M$26, 2, FALSE) * (1+ VLOOKUP($A71,'vomcost mult'!$N$10:$R$32,5, FALSE)), 2)</f>
        <v>1.23</v>
      </c>
    </row>
    <row r="72" spans="1:6">
      <c r="A72" t="s">
        <v>124</v>
      </c>
      <c r="B72" t="s">
        <v>244</v>
      </c>
      <c r="C72" s="19" t="s">
        <v>214</v>
      </c>
      <c r="D72" s="19">
        <v>1</v>
      </c>
      <c r="E72" s="19">
        <v>110</v>
      </c>
      <c r="F72" s="19">
        <f>ROUND( VLOOKUP($B72,$L$2:$M$26, 2, FALSE) * (1+ VLOOKUP($A72,'vomcost mult'!$N$10:$R$32,5, FALSE)), 2)</f>
        <v>0.84</v>
      </c>
    </row>
    <row r="73" spans="1:6">
      <c r="A73" t="s">
        <v>125</v>
      </c>
      <c r="B73" t="s">
        <v>237</v>
      </c>
      <c r="C73" s="19" t="s">
        <v>214</v>
      </c>
      <c r="D73" s="19">
        <v>1</v>
      </c>
      <c r="E73" s="19">
        <v>1004</v>
      </c>
      <c r="F73" s="19">
        <f>ROUND( VLOOKUP($B73,$L$2:$M$26, 2, FALSE) * (1+ VLOOKUP($A73,'vomcost mult'!$N$10:$R$32,5, FALSE)), 2)</f>
        <v>1.1200000000000001</v>
      </c>
    </row>
    <row r="74" spans="1:6">
      <c r="A74" t="s">
        <v>125</v>
      </c>
      <c r="B74" t="s">
        <v>241</v>
      </c>
      <c r="C74" s="19" t="s">
        <v>214</v>
      </c>
      <c r="D74" s="19">
        <v>1</v>
      </c>
      <c r="E74" s="19">
        <v>73</v>
      </c>
      <c r="F74" s="19">
        <f>ROUND( VLOOKUP($B74,$L$2:$M$26, 2, FALSE) * (1+ VLOOKUP($A74,'vomcost mult'!$N$10:$R$32,5, FALSE)), 2)</f>
        <v>1.1200000000000001</v>
      </c>
    </row>
    <row r="75" spans="1:6">
      <c r="A75" t="s">
        <v>126</v>
      </c>
      <c r="B75" t="s">
        <v>239</v>
      </c>
      <c r="C75" s="19" t="s">
        <v>214</v>
      </c>
      <c r="D75" s="19">
        <v>1</v>
      </c>
      <c r="E75" s="19">
        <v>2536.5</v>
      </c>
      <c r="F75" s="19">
        <f>ROUND( VLOOKUP($B75,$L$2:$M$26, 2, FALSE) * (1+ VLOOKUP($A75,'vomcost mult'!$N$10:$R$32,5, FALSE)), 2)</f>
        <v>1.89</v>
      </c>
    </row>
    <row r="76" spans="1:6">
      <c r="A76" t="s">
        <v>126</v>
      </c>
      <c r="B76" t="s">
        <v>242</v>
      </c>
      <c r="C76" s="19" t="s">
        <v>214</v>
      </c>
      <c r="D76" s="19">
        <v>1</v>
      </c>
      <c r="E76" s="19">
        <v>7083</v>
      </c>
      <c r="F76" s="19">
        <f>ROUND( VLOOKUP($B76,$L$2:$M$26, 2, FALSE) * (1+ VLOOKUP($A76,'vomcost mult'!$N$10:$R$32,5, FALSE)), 2)</f>
        <v>1.89</v>
      </c>
    </row>
    <row r="77" spans="1:6">
      <c r="A77" t="s">
        <v>126</v>
      </c>
      <c r="B77" t="s">
        <v>245</v>
      </c>
      <c r="C77" s="19" t="s">
        <v>214</v>
      </c>
      <c r="D77" s="19">
        <v>1</v>
      </c>
      <c r="E77" s="19">
        <v>314</v>
      </c>
      <c r="F77" s="19">
        <f>ROUND( VLOOKUP($B77,$L$2:$M$26, 2, FALSE) * (1+ VLOOKUP($A77,'vomcost mult'!$N$10:$R$32,5, FALSE)), 2)</f>
        <v>1.89</v>
      </c>
    </row>
    <row r="78" spans="1:6">
      <c r="A78" t="s">
        <v>126</v>
      </c>
      <c r="B78" t="s">
        <v>246</v>
      </c>
      <c r="C78" s="19" t="s">
        <v>214</v>
      </c>
      <c r="D78" s="19">
        <v>1</v>
      </c>
      <c r="E78" s="19">
        <v>165</v>
      </c>
      <c r="F78" s="19">
        <f>ROUND( VLOOKUP($B78,$L$2:$M$26, 2, FALSE) * (1+ VLOOKUP($A78,'vomcost mult'!$N$10:$R$32,5, FALSE)), 2)</f>
        <v>1.89</v>
      </c>
    </row>
    <row r="79" spans="1:6">
      <c r="A79" t="s">
        <v>126</v>
      </c>
      <c r="B79" t="s">
        <v>259</v>
      </c>
      <c r="C79" s="19" t="s">
        <v>214</v>
      </c>
      <c r="D79" s="19">
        <v>1</v>
      </c>
      <c r="E79" s="19">
        <v>413.1</v>
      </c>
      <c r="F79" s="19">
        <f>ROUND( VLOOKUP($B79,$L$2:$M$26, 2, FALSE) * (1+ VLOOKUP($A79,'vomcost mult'!$N$10:$R$32,5, FALSE)), 2)</f>
        <v>3.54</v>
      </c>
    </row>
    <row r="80" spans="1:6">
      <c r="A80" t="s">
        <v>126</v>
      </c>
      <c r="B80" t="s">
        <v>276</v>
      </c>
      <c r="C80" s="19" t="s">
        <v>214</v>
      </c>
      <c r="D80" s="19">
        <v>1</v>
      </c>
      <c r="E80" s="19">
        <v>72.900000000000006</v>
      </c>
      <c r="F80" s="19">
        <f>ROUND( VLOOKUP($B80,$L$2:$M$26, 2, FALSE) * (1+ VLOOKUP($A80,'vomcost mult'!$N$10:$R$32,5, FALSE)), 2)</f>
        <v>3.54</v>
      </c>
    </row>
    <row r="81" spans="1:6">
      <c r="A81" t="s">
        <v>130</v>
      </c>
      <c r="B81" t="s">
        <v>237</v>
      </c>
      <c r="C81" s="19" t="s">
        <v>214</v>
      </c>
      <c r="D81" s="19">
        <v>1</v>
      </c>
      <c r="E81" s="19">
        <v>9620.7000000000007</v>
      </c>
      <c r="F81" s="19">
        <f>ROUND( VLOOKUP($B81,$L$2:$M$26, 2, FALSE) * (1+ VLOOKUP($A81,'vomcost mult'!$N$10:$R$32,5, FALSE)), 2)</f>
        <v>1.1000000000000001</v>
      </c>
    </row>
    <row r="82" spans="1:6">
      <c r="A82" t="s">
        <v>130</v>
      </c>
      <c r="B82" t="s">
        <v>247</v>
      </c>
      <c r="C82" s="19" t="s">
        <v>214</v>
      </c>
      <c r="D82" s="19">
        <v>1</v>
      </c>
      <c r="E82" s="19">
        <v>1663</v>
      </c>
      <c r="F82" s="19">
        <f>ROUND( VLOOKUP($B82,$L$2:$M$26, 2, FALSE) * (1+ VLOOKUP($A82,'vomcost mult'!$N$10:$R$32,5, FALSE)), 2)</f>
        <v>2.2799999999999998</v>
      </c>
    </row>
    <row r="83" spans="1:6">
      <c r="A83" t="s">
        <v>130</v>
      </c>
      <c r="B83" t="s">
        <v>248</v>
      </c>
      <c r="C83" s="19" t="s">
        <v>214</v>
      </c>
      <c r="D83" s="19">
        <v>1</v>
      </c>
      <c r="E83" s="19">
        <v>3305.5</v>
      </c>
      <c r="F83" s="19">
        <f>ROUND( VLOOKUP($B83,$L$2:$M$26, 2, FALSE) * (1+ VLOOKUP($A83,'vomcost mult'!$N$10:$R$32,5, FALSE)), 2)</f>
        <v>2.2799999999999998</v>
      </c>
    </row>
    <row r="84" spans="1:6">
      <c r="A84" t="s">
        <v>130</v>
      </c>
      <c r="B84" t="s">
        <v>249</v>
      </c>
      <c r="C84" s="19" t="s">
        <v>214</v>
      </c>
      <c r="D84" s="19">
        <v>1</v>
      </c>
      <c r="E84" s="19">
        <v>5466.6</v>
      </c>
      <c r="F84" s="19">
        <f>ROUND( VLOOKUP($B84,$L$2:$M$26, 2, FALSE) * (1+ VLOOKUP($A84,'vomcost mult'!$N$10:$R$32,5, FALSE)), 2)</f>
        <v>2.2799999999999998</v>
      </c>
    </row>
    <row r="85" spans="1:6">
      <c r="A85" t="s">
        <v>130</v>
      </c>
      <c r="B85" t="s">
        <v>250</v>
      </c>
      <c r="C85" s="19" t="s">
        <v>214</v>
      </c>
      <c r="D85" s="19">
        <v>1</v>
      </c>
      <c r="E85" s="19">
        <v>1872.1</v>
      </c>
      <c r="F85" s="19">
        <f>ROUND( VLOOKUP($B85,$L$2:$M$26, 2, FALSE) * (1+ VLOOKUP($A85,'vomcost mult'!$N$10:$R$32,5, FALSE)), 2)</f>
        <v>2.2799999999999998</v>
      </c>
    </row>
    <row r="86" spans="1:6">
      <c r="A86" t="s">
        <v>130</v>
      </c>
      <c r="B86" t="s">
        <v>256</v>
      </c>
      <c r="C86" s="19" t="s">
        <v>214</v>
      </c>
      <c r="D86" s="19">
        <v>1</v>
      </c>
      <c r="E86" s="19">
        <v>4696</v>
      </c>
      <c r="F86" s="19">
        <f>ROUND( VLOOKUP($B86,$L$2:$M$26, 2, FALSE) * (1+ VLOOKUP($A86,'vomcost mult'!$N$10:$R$32,5, FALSE)), 2)</f>
        <v>2.2799999999999998</v>
      </c>
    </row>
    <row r="87" spans="1:6">
      <c r="A87" t="s">
        <v>130</v>
      </c>
      <c r="B87" t="s">
        <v>258</v>
      </c>
      <c r="C87" s="19" t="s">
        <v>214</v>
      </c>
      <c r="D87" s="19">
        <v>1</v>
      </c>
      <c r="E87" s="19">
        <v>1824</v>
      </c>
      <c r="F87" s="19">
        <f>ROUND( VLOOKUP($B87,$L$2:$M$26, 2, FALSE) * (1+ VLOOKUP($A87,'vomcost mult'!$N$10:$R$32,5, FALSE)), 2)</f>
        <v>2.2799999999999998</v>
      </c>
    </row>
    <row r="88" spans="1:6">
      <c r="A88" t="s">
        <v>131</v>
      </c>
      <c r="B88" t="s">
        <v>246</v>
      </c>
      <c r="C88" s="19" t="s">
        <v>214</v>
      </c>
      <c r="D88" s="19">
        <v>1</v>
      </c>
      <c r="E88" s="19">
        <v>97</v>
      </c>
      <c r="F88" s="19">
        <f>ROUND( VLOOKUP($B88,$L$2:$M$26, 2, FALSE) * (1+ VLOOKUP($A88,'vomcost mult'!$N$10:$R$32,5, FALSE)), 2)</f>
        <v>1.89</v>
      </c>
    </row>
    <row r="89" spans="1:6">
      <c r="A89" t="s">
        <v>133</v>
      </c>
      <c r="B89" t="s">
        <v>246</v>
      </c>
      <c r="C89" s="19" t="s">
        <v>214</v>
      </c>
      <c r="D89" s="19">
        <v>1</v>
      </c>
      <c r="E89" s="19">
        <v>54</v>
      </c>
      <c r="F89" s="19">
        <f>ROUND( VLOOKUP($B89,$L$2:$M$26, 2, FALSE) * (1+ VLOOKUP($A89,'vomcost mult'!$N$10:$R$32,5, FALSE)), 2)</f>
        <v>1.86</v>
      </c>
    </row>
    <row r="90" spans="1:6">
      <c r="A90" t="s">
        <v>133</v>
      </c>
      <c r="B90" t="s">
        <v>259</v>
      </c>
      <c r="C90" s="19" t="s">
        <v>214</v>
      </c>
      <c r="D90" s="19">
        <v>1</v>
      </c>
      <c r="E90" s="19">
        <v>5850.6</v>
      </c>
      <c r="F90" s="19">
        <f>ROUND( VLOOKUP($B90,$L$2:$M$26, 2, FALSE) * (1+ VLOOKUP($A90,'vomcost mult'!$N$10:$R$32,5, FALSE)), 2)</f>
        <v>3.5</v>
      </c>
    </row>
    <row r="91" spans="1:6">
      <c r="A91" t="s">
        <v>133</v>
      </c>
      <c r="B91" t="s">
        <v>276</v>
      </c>
      <c r="C91" s="19" t="s">
        <v>214</v>
      </c>
      <c r="D91" s="19">
        <v>1</v>
      </c>
      <c r="E91" s="19">
        <v>1032.5</v>
      </c>
      <c r="F91" s="19">
        <f>ROUND( VLOOKUP($B91,$L$2:$M$26, 2, FALSE) * (1+ VLOOKUP($A91,'vomcost mult'!$N$10:$R$32,5, FALSE)), 2)</f>
        <v>3.5</v>
      </c>
    </row>
    <row r="92" spans="1:6">
      <c r="A92" t="s">
        <v>135</v>
      </c>
      <c r="B92" t="s">
        <v>234</v>
      </c>
      <c r="C92" s="19" t="s">
        <v>214</v>
      </c>
      <c r="D92" s="19">
        <v>1</v>
      </c>
      <c r="E92" s="19">
        <v>3270</v>
      </c>
      <c r="F92" s="19">
        <f>ROUND( VLOOKUP($B92,$L$2:$M$26, 2, FALSE) * (1+ VLOOKUP($A92,'vomcost mult'!$N$10:$R$32,5, FALSE)), 2)</f>
        <v>3.73</v>
      </c>
    </row>
    <row r="93" spans="1:6">
      <c r="A93" t="s">
        <v>135</v>
      </c>
      <c r="B93" t="s">
        <v>237</v>
      </c>
      <c r="C93" s="19" t="s">
        <v>214</v>
      </c>
      <c r="D93" s="19">
        <v>1</v>
      </c>
      <c r="E93" s="19">
        <v>1030</v>
      </c>
      <c r="F93" s="19">
        <f>ROUND( VLOOKUP($B93,$L$2:$M$26, 2, FALSE) * (1+ VLOOKUP($A93,'vomcost mult'!$N$10:$R$32,5, FALSE)), 2)</f>
        <v>1.86</v>
      </c>
    </row>
    <row r="94" spans="1:6">
      <c r="A94" t="s">
        <v>135</v>
      </c>
      <c r="B94" t="s">
        <v>239</v>
      </c>
      <c r="C94" s="19" t="s">
        <v>214</v>
      </c>
      <c r="D94" s="19">
        <v>1</v>
      </c>
      <c r="E94" s="19">
        <v>539</v>
      </c>
      <c r="F94" s="19">
        <f>ROUND( VLOOKUP($B94,$L$2:$M$26, 2, FALSE) * (1+ VLOOKUP($A94,'vomcost mult'!$N$10:$R$32,5, FALSE)), 2)</f>
        <v>1.86</v>
      </c>
    </row>
    <row r="95" spans="1:6">
      <c r="A95" t="s">
        <v>135</v>
      </c>
      <c r="B95" t="s">
        <v>241</v>
      </c>
      <c r="C95" s="19" t="s">
        <v>214</v>
      </c>
      <c r="D95" s="19">
        <v>1</v>
      </c>
      <c r="E95" s="19">
        <v>21988.5</v>
      </c>
      <c r="F95" s="19">
        <f>ROUND( VLOOKUP($B95,$L$2:$M$26, 2, FALSE) * (1+ VLOOKUP($A95,'vomcost mult'!$N$10:$R$32,5, FALSE)), 2)</f>
        <v>1.86</v>
      </c>
    </row>
    <row r="96" spans="1:6">
      <c r="A96" t="s">
        <v>135</v>
      </c>
      <c r="B96" t="s">
        <v>242</v>
      </c>
      <c r="C96" s="19" t="s">
        <v>214</v>
      </c>
      <c r="D96" s="19">
        <v>1</v>
      </c>
      <c r="E96" s="19">
        <v>408</v>
      </c>
      <c r="F96" s="19">
        <f>ROUND( VLOOKUP($B96,$L$2:$M$26, 2, FALSE) * (1+ VLOOKUP($A96,'vomcost mult'!$N$10:$R$32,5, FALSE)), 2)</f>
        <v>1.86</v>
      </c>
    </row>
    <row r="97" spans="1:6">
      <c r="A97" t="s">
        <v>135</v>
      </c>
      <c r="B97" t="s">
        <v>246</v>
      </c>
      <c r="C97" s="19" t="s">
        <v>214</v>
      </c>
      <c r="D97" s="19">
        <v>1</v>
      </c>
      <c r="E97" s="19">
        <v>2456.9</v>
      </c>
      <c r="F97" s="19">
        <f>ROUND( VLOOKUP($B97,$L$2:$M$26, 2, FALSE) * (1+ VLOOKUP($A97,'vomcost mult'!$N$10:$R$32,5, FALSE)), 2)</f>
        <v>1.86</v>
      </c>
    </row>
    <row r="98" spans="1:6">
      <c r="A98" t="s">
        <v>135</v>
      </c>
      <c r="B98" t="s">
        <v>243</v>
      </c>
      <c r="C98" s="19" t="s">
        <v>214</v>
      </c>
      <c r="D98" s="19">
        <v>1</v>
      </c>
      <c r="E98" s="19">
        <v>2448.6999999999998</v>
      </c>
      <c r="F98" s="19">
        <f>ROUND( VLOOKUP($B98,$L$2:$M$26, 2, FALSE) * (1+ VLOOKUP($A98,'vomcost mult'!$N$10:$R$32,5, FALSE)), 2)</f>
        <v>1.28</v>
      </c>
    </row>
    <row r="99" spans="1:6">
      <c r="A99" t="s">
        <v>135</v>
      </c>
      <c r="B99" t="s">
        <v>244</v>
      </c>
      <c r="C99" s="19" t="s">
        <v>214</v>
      </c>
      <c r="D99" s="19">
        <v>1</v>
      </c>
      <c r="E99" s="19">
        <v>5062.1000000000004</v>
      </c>
      <c r="F99" s="19">
        <f>ROUND( VLOOKUP($B99,$L$2:$M$26, 2, FALSE) * (1+ VLOOKUP($A99,'vomcost mult'!$N$10:$R$32,5, FALSE)), 2)</f>
        <v>1.28</v>
      </c>
    </row>
    <row r="100" spans="1:6">
      <c r="A100" t="s">
        <v>135</v>
      </c>
      <c r="B100" t="s">
        <v>251</v>
      </c>
      <c r="C100" s="19" t="s">
        <v>214</v>
      </c>
      <c r="D100" s="19">
        <v>1</v>
      </c>
      <c r="E100" s="19">
        <v>204.7</v>
      </c>
      <c r="F100" s="19">
        <f>ROUND( VLOOKUP($B100,$L$2:$M$26, 2, FALSE) * (1+ VLOOKUP($A100,'vomcost mult'!$N$10:$R$32,5, FALSE)), 2)</f>
        <v>3.84</v>
      </c>
    </row>
    <row r="101" spans="1:6">
      <c r="A101" t="s">
        <v>135</v>
      </c>
      <c r="B101" t="s">
        <v>253</v>
      </c>
      <c r="C101" s="19" t="s">
        <v>214</v>
      </c>
      <c r="D101" s="19">
        <v>1</v>
      </c>
      <c r="E101" s="19">
        <v>70.8</v>
      </c>
      <c r="F101" s="19">
        <f>ROUND( VLOOKUP($B101,$L$2:$M$26, 2, FALSE) * (1+ VLOOKUP($A101,'vomcost mult'!$N$10:$R$32,5, FALSE)), 2)</f>
        <v>3.84</v>
      </c>
    </row>
    <row r="102" spans="1:6">
      <c r="A102" t="s">
        <v>135</v>
      </c>
      <c r="B102" t="s">
        <v>254</v>
      </c>
      <c r="C102" s="19" t="s">
        <v>214</v>
      </c>
      <c r="D102" s="19">
        <v>1</v>
      </c>
      <c r="E102" s="19">
        <v>389</v>
      </c>
      <c r="F102" s="19">
        <f>ROUND( VLOOKUP($B102,$L$2:$M$26, 2, FALSE) * (1+ VLOOKUP($A102,'vomcost mult'!$N$10:$R$32,5, FALSE)), 2)</f>
        <v>1.28</v>
      </c>
    </row>
    <row r="103" spans="1:6">
      <c r="A103" t="s">
        <v>135</v>
      </c>
      <c r="B103" t="s">
        <v>257</v>
      </c>
      <c r="C103" s="19" t="s">
        <v>214</v>
      </c>
      <c r="D103" s="19">
        <v>1</v>
      </c>
      <c r="E103" s="19">
        <v>18</v>
      </c>
      <c r="F103" s="19">
        <f>ROUND( VLOOKUP($B103,$L$2:$M$26, 2, FALSE) * (1+ VLOOKUP($A103,'vomcost mult'!$N$10:$R$32,5, FALSE)), 2)</f>
        <v>3.84</v>
      </c>
    </row>
    <row r="104" spans="1:6">
      <c r="A104" t="s">
        <v>135</v>
      </c>
      <c r="B104" t="s">
        <v>259</v>
      </c>
      <c r="C104" s="19" t="s">
        <v>214</v>
      </c>
      <c r="D104" s="19">
        <v>1</v>
      </c>
      <c r="E104" s="19">
        <v>4683.5</v>
      </c>
      <c r="F104" s="19">
        <f>ROUND( VLOOKUP($B104,$L$2:$M$26, 2, FALSE) * (1+ VLOOKUP($A104,'vomcost mult'!$N$10:$R$32,5, FALSE)), 2)</f>
        <v>3.5</v>
      </c>
    </row>
    <row r="105" spans="1:6">
      <c r="A105" t="s">
        <v>135</v>
      </c>
      <c r="B105" t="s">
        <v>276</v>
      </c>
      <c r="C105" s="19" t="s">
        <v>214</v>
      </c>
      <c r="D105" s="19">
        <v>1</v>
      </c>
      <c r="E105" s="19">
        <v>826.5</v>
      </c>
      <c r="F105" s="19">
        <f>ROUND( VLOOKUP($B105,$L$2:$M$26, 2, FALSE) * (1+ VLOOKUP($A105,'vomcost mult'!$N$10:$R$32,5, FALSE)), 2)</f>
        <v>3.5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688F-7C70-4993-8E29-1CBB3455455A}">
  <sheetPr>
    <tabColor theme="6" tint="0.59999389629810485"/>
  </sheetPr>
  <dimension ref="A1:AG70"/>
  <sheetViews>
    <sheetView workbookViewId="0">
      <selection activeCell="H6" sqref="H6"/>
    </sheetView>
  </sheetViews>
  <sheetFormatPr defaultRowHeight="15"/>
  <cols>
    <col min="1" max="1" width="10.140625" customWidth="1"/>
    <col min="2" max="2" width="21.42578125" bestFit="1" customWidth="1"/>
    <col min="3" max="3" width="10.7109375" customWidth="1"/>
    <col min="4" max="4" width="7.140625" customWidth="1"/>
    <col min="5" max="6" width="18.28515625" customWidth="1"/>
    <col min="11" max="12" width="9.140625" customWidth="1"/>
    <col min="13" max="13" width="2.42578125" customWidth="1"/>
    <col min="14" max="16" width="9.140625" customWidth="1"/>
    <col min="17" max="17" width="2.42578125" customWidth="1"/>
    <col min="18" max="20" width="9.140625" customWidth="1"/>
    <col min="21" max="21" width="2.28515625" customWidth="1"/>
    <col min="22" max="24" width="9.140625" customWidth="1"/>
    <col min="28" max="28" width="15.140625" customWidth="1"/>
    <col min="33" max="33" width="11.28515625" style="19" customWidth="1"/>
  </cols>
  <sheetData>
    <row r="1" spans="1:33">
      <c r="A1" s="85" t="s">
        <v>3</v>
      </c>
      <c r="B1" s="85" t="s">
        <v>209</v>
      </c>
      <c r="C1" s="85" t="s">
        <v>210</v>
      </c>
      <c r="D1" s="85" t="s">
        <v>211</v>
      </c>
      <c r="E1" s="85" t="s">
        <v>212</v>
      </c>
      <c r="F1" s="85" t="s">
        <v>228</v>
      </c>
    </row>
    <row r="2" spans="1:33">
      <c r="A2" s="17" t="s">
        <v>321</v>
      </c>
      <c r="C2" s="19"/>
      <c r="D2" s="19"/>
      <c r="I2" s="17" t="s">
        <v>314</v>
      </c>
      <c r="Y2" s="17" t="s">
        <v>313</v>
      </c>
      <c r="AF2" s="75" t="s">
        <v>310</v>
      </c>
    </row>
    <row r="3" spans="1:33">
      <c r="A3" t="s">
        <v>111</v>
      </c>
      <c r="B3" t="s">
        <v>233</v>
      </c>
      <c r="C3" s="19" t="s">
        <v>214</v>
      </c>
      <c r="D3" s="19">
        <v>1</v>
      </c>
      <c r="E3">
        <f t="shared" ref="E3:E24" si="0">R6</f>
        <v>150</v>
      </c>
      <c r="F3">
        <f>$Z$30+V6</f>
        <v>400.12799999999999</v>
      </c>
      <c r="J3" s="17" t="s">
        <v>316</v>
      </c>
      <c r="N3" s="17" t="s">
        <v>317</v>
      </c>
      <c r="R3" s="17" t="s">
        <v>318</v>
      </c>
      <c r="V3" s="17" t="s">
        <v>319</v>
      </c>
    </row>
    <row r="4" spans="1:33">
      <c r="A4" t="s">
        <v>114</v>
      </c>
      <c r="B4" t="s">
        <v>233</v>
      </c>
      <c r="C4" s="19" t="s">
        <v>214</v>
      </c>
      <c r="D4" s="19">
        <v>1</v>
      </c>
      <c r="E4">
        <f t="shared" si="0"/>
        <v>300</v>
      </c>
      <c r="F4">
        <f t="shared" ref="F4:F24" si="1">$Z$30+V7</f>
        <v>400.12099999999998</v>
      </c>
      <c r="J4" s="23" t="s">
        <v>282</v>
      </c>
      <c r="K4" s="23" t="s">
        <v>283</v>
      </c>
      <c r="L4" s="23" t="s">
        <v>284</v>
      </c>
      <c r="N4" s="17" t="s">
        <v>282</v>
      </c>
      <c r="O4" s="17" t="s">
        <v>283</v>
      </c>
      <c r="P4" s="17" t="s">
        <v>284</v>
      </c>
      <c r="R4" s="23" t="s">
        <v>282</v>
      </c>
      <c r="S4" s="23" t="s">
        <v>283</v>
      </c>
      <c r="T4" s="23" t="s">
        <v>284</v>
      </c>
      <c r="Z4" s="17" t="s">
        <v>282</v>
      </c>
      <c r="AA4" s="17" t="s">
        <v>283</v>
      </c>
      <c r="AB4" s="17" t="s">
        <v>284</v>
      </c>
    </row>
    <row r="5" spans="1:33">
      <c r="A5" t="s">
        <v>116</v>
      </c>
      <c r="B5" t="s">
        <v>233</v>
      </c>
      <c r="C5" s="19" t="s">
        <v>214</v>
      </c>
      <c r="D5" s="19">
        <v>1</v>
      </c>
      <c r="E5">
        <f t="shared" si="0"/>
        <v>105</v>
      </c>
      <c r="F5">
        <f t="shared" si="1"/>
        <v>400.45600000000002</v>
      </c>
      <c r="J5" s="23" t="s">
        <v>227</v>
      </c>
      <c r="K5" s="23" t="s">
        <v>227</v>
      </c>
      <c r="L5" s="23" t="s">
        <v>227</v>
      </c>
      <c r="M5" s="17"/>
      <c r="N5" s="17" t="s">
        <v>315</v>
      </c>
      <c r="R5" s="23" t="s">
        <v>227</v>
      </c>
      <c r="S5" s="23" t="s">
        <v>227</v>
      </c>
      <c r="T5" s="23" t="s">
        <v>227</v>
      </c>
      <c r="V5" s="23" t="s">
        <v>320</v>
      </c>
      <c r="Z5" s="17" t="s">
        <v>227</v>
      </c>
      <c r="AA5" s="17" t="s">
        <v>227</v>
      </c>
      <c r="AB5" s="17" t="s">
        <v>227</v>
      </c>
      <c r="AG5" s="23" t="s">
        <v>311</v>
      </c>
    </row>
    <row r="6" spans="1:33">
      <c r="A6" t="s">
        <v>117</v>
      </c>
      <c r="B6" t="s">
        <v>233</v>
      </c>
      <c r="C6" s="19" t="s">
        <v>214</v>
      </c>
      <c r="D6" s="19">
        <v>1</v>
      </c>
      <c r="E6">
        <f t="shared" si="0"/>
        <v>800</v>
      </c>
      <c r="F6">
        <f t="shared" si="1"/>
        <v>400.108</v>
      </c>
      <c r="I6" s="17" t="s">
        <v>111</v>
      </c>
      <c r="J6" s="19">
        <f>Z6</f>
        <v>150</v>
      </c>
      <c r="K6" s="19">
        <f t="shared" ref="K6:L6" si="2">AA6</f>
        <v>150</v>
      </c>
      <c r="L6" s="19">
        <f t="shared" si="2"/>
        <v>200</v>
      </c>
      <c r="N6" s="82">
        <f t="shared" ref="N6:N27" si="3">IFERROR(J6/ ($AG6*10^6/8760), "-")</f>
        <v>2.1210653753026634E-2</v>
      </c>
      <c r="O6" s="82">
        <f t="shared" ref="O6:O27" si="4">IFERROR(K6/ ($AG6*10^6/8760), "-")</f>
        <v>2.1210653753026634E-2</v>
      </c>
      <c r="P6" s="82">
        <f t="shared" ref="P6:P27" si="5">IFERROR(L6/ ($AG6*10^6/8760), "-")</f>
        <v>2.8280871670702177E-2</v>
      </c>
      <c r="R6" s="84">
        <f t="shared" ref="R6:R27" si="6">ROUND(IF(NOT(ISNUMBER(N6)),   N$29,   IF(N6&gt;3*N$29,  3*N$29, N6)) * ($AG6*10^6/8760), 1)</f>
        <v>150</v>
      </c>
      <c r="S6" s="84">
        <f t="shared" ref="S6:S27" si="7">ROUND(IF(NOT(ISNUMBER(O6)),   O$29,   IF(O6&gt;3*O$29,  3*O$29, O6)) * ($AG6*10^6/8760), 1)</f>
        <v>150</v>
      </c>
      <c r="T6" s="84">
        <f t="shared" ref="T6:T27" si="8">ROUND(IF(NOT(ISNUMBER(P6)),   P$29,   IF(P6&gt;3*P$29,  3*P$29, P6)) * ($AG6*10^6/8760), 1)</f>
        <v>200</v>
      </c>
      <c r="V6">
        <f>(1+ VLOOKUP($I6,'vomcost mult'!$N$10:$R$32,5, FALSE))-1</f>
        <v>0.12800000000000011</v>
      </c>
      <c r="Y6" s="17" t="s">
        <v>80</v>
      </c>
      <c r="Z6">
        <v>150</v>
      </c>
      <c r="AA6">
        <v>150</v>
      </c>
      <c r="AB6">
        <v>200</v>
      </c>
      <c r="AD6" s="17" t="s">
        <v>80</v>
      </c>
      <c r="AE6" s="17" t="str">
        <f t="shared" ref="AE6:AE27" si="9">LEFT(AF6,4)</f>
        <v>AT00</v>
      </c>
      <c r="AF6" s="17" t="s">
        <v>288</v>
      </c>
      <c r="AG6" s="19">
        <v>61.95</v>
      </c>
    </row>
    <row r="7" spans="1:33">
      <c r="A7" t="s">
        <v>118</v>
      </c>
      <c r="B7" t="s">
        <v>233</v>
      </c>
      <c r="C7" s="19" t="s">
        <v>214</v>
      </c>
      <c r="D7" s="19">
        <v>1</v>
      </c>
      <c r="E7">
        <f t="shared" si="0"/>
        <v>37.9</v>
      </c>
      <c r="F7">
        <f t="shared" si="1"/>
        <v>400.25</v>
      </c>
      <c r="I7" s="17" t="s">
        <v>114</v>
      </c>
      <c r="J7" s="19">
        <f>Z8</f>
        <v>300</v>
      </c>
      <c r="K7" s="19">
        <f t="shared" ref="K7:L7" si="10">AA8</f>
        <v>100</v>
      </c>
      <c r="L7" s="19">
        <f t="shared" si="10"/>
        <v>500</v>
      </c>
      <c r="N7" s="82">
        <f t="shared" si="3"/>
        <v>3.188159650612641E-2</v>
      </c>
      <c r="O7" s="82">
        <f t="shared" si="4"/>
        <v>1.0627198835375469E-2</v>
      </c>
      <c r="P7" s="82">
        <f t="shared" si="5"/>
        <v>5.3135994176877345E-2</v>
      </c>
      <c r="R7" s="84">
        <f t="shared" si="6"/>
        <v>300</v>
      </c>
      <c r="S7" s="84">
        <f t="shared" si="7"/>
        <v>100</v>
      </c>
      <c r="T7" s="84">
        <f t="shared" si="8"/>
        <v>500</v>
      </c>
      <c r="V7">
        <f>(1+ VLOOKUP($I7,'vomcost mult'!$N$10:$R$32,5, FALSE))-1</f>
        <v>0.121</v>
      </c>
      <c r="Y7" s="17" t="s">
        <v>286</v>
      </c>
      <c r="Z7">
        <v>80</v>
      </c>
      <c r="AA7">
        <v>80</v>
      </c>
      <c r="AB7">
        <v>80</v>
      </c>
      <c r="AD7" s="17" t="s">
        <v>76</v>
      </c>
      <c r="AE7" s="17" t="str">
        <f t="shared" si="9"/>
        <v>BE00</v>
      </c>
      <c r="AF7" s="17" t="s">
        <v>289</v>
      </c>
      <c r="AG7" s="19">
        <v>82.43</v>
      </c>
    </row>
    <row r="8" spans="1:33">
      <c r="A8" t="s">
        <v>119</v>
      </c>
      <c r="B8" t="s">
        <v>233</v>
      </c>
      <c r="C8" s="19" t="s">
        <v>214</v>
      </c>
      <c r="D8" s="19">
        <v>1</v>
      </c>
      <c r="E8">
        <f t="shared" si="0"/>
        <v>62.1</v>
      </c>
      <c r="F8">
        <f t="shared" si="1"/>
        <v>400.238</v>
      </c>
      <c r="I8" s="17" t="s">
        <v>116</v>
      </c>
      <c r="J8" s="19" t="s">
        <v>220</v>
      </c>
      <c r="K8" s="19" t="s">
        <v>220</v>
      </c>
      <c r="L8" s="19" t="s">
        <v>220</v>
      </c>
      <c r="N8" s="82" t="str">
        <f t="shared" si="3"/>
        <v>-</v>
      </c>
      <c r="O8" s="82" t="str">
        <f t="shared" si="4"/>
        <v>-</v>
      </c>
      <c r="P8" s="82" t="str">
        <f t="shared" si="5"/>
        <v>-</v>
      </c>
      <c r="R8" s="84">
        <f t="shared" si="6"/>
        <v>105</v>
      </c>
      <c r="S8" s="84">
        <f t="shared" si="7"/>
        <v>96.1</v>
      </c>
      <c r="T8" s="84">
        <f t="shared" si="8"/>
        <v>127.9</v>
      </c>
      <c r="V8">
        <f>(1+ VLOOKUP($I8,'vomcost mult'!$N$10:$R$32,5, FALSE))-1</f>
        <v>0.45599999999999996</v>
      </c>
      <c r="Y8" s="17" t="s">
        <v>76</v>
      </c>
      <c r="Z8">
        <v>300</v>
      </c>
      <c r="AA8">
        <v>100</v>
      </c>
      <c r="AB8">
        <v>500</v>
      </c>
      <c r="AD8" s="17" t="s">
        <v>220</v>
      </c>
      <c r="AE8" s="17" t="str">
        <f t="shared" si="9"/>
        <v>CH00</v>
      </c>
      <c r="AF8" s="17" t="s">
        <v>290</v>
      </c>
      <c r="AG8" s="19">
        <v>60.94</v>
      </c>
    </row>
    <row r="9" spans="1:33">
      <c r="A9" t="s">
        <v>120</v>
      </c>
      <c r="B9" t="s">
        <v>233</v>
      </c>
      <c r="C9" s="19" t="s">
        <v>214</v>
      </c>
      <c r="D9" s="19">
        <v>1</v>
      </c>
      <c r="E9">
        <f t="shared" si="0"/>
        <v>25.5</v>
      </c>
      <c r="F9">
        <f t="shared" si="1"/>
        <v>399.79599999999999</v>
      </c>
      <c r="I9" s="17" t="s">
        <v>117</v>
      </c>
      <c r="J9" s="19">
        <f>Z9</f>
        <v>800</v>
      </c>
      <c r="K9" s="19">
        <f>AA9</f>
        <v>800</v>
      </c>
      <c r="L9" s="19">
        <f>AB9</f>
        <v>2400</v>
      </c>
      <c r="N9" s="82">
        <f t="shared" si="3"/>
        <v>1.2873124047098587E-2</v>
      </c>
      <c r="O9" s="82">
        <f t="shared" si="4"/>
        <v>1.2873124047098587E-2</v>
      </c>
      <c r="P9" s="82">
        <f t="shared" si="5"/>
        <v>3.8619372141295759E-2</v>
      </c>
      <c r="R9" s="84">
        <f t="shared" si="6"/>
        <v>800</v>
      </c>
      <c r="S9" s="84">
        <f t="shared" si="7"/>
        <v>800</v>
      </c>
      <c r="T9" s="84">
        <f t="shared" si="8"/>
        <v>2400</v>
      </c>
      <c r="V9">
        <f>(1+ VLOOKUP($I9,'vomcost mult'!$N$10:$R$32,5, FALSE))-1</f>
        <v>0.1080000000000001</v>
      </c>
      <c r="Y9" s="17" t="s">
        <v>285</v>
      </c>
      <c r="Z9">
        <v>800</v>
      </c>
      <c r="AA9">
        <v>800</v>
      </c>
      <c r="AB9">
        <v>2400</v>
      </c>
      <c r="AD9" s="17" t="s">
        <v>285</v>
      </c>
      <c r="AE9" s="17" t="str">
        <f t="shared" si="9"/>
        <v>DE00</v>
      </c>
      <c r="AF9" s="17" t="s">
        <v>291</v>
      </c>
      <c r="AG9" s="19">
        <v>544.39</v>
      </c>
    </row>
    <row r="10" spans="1:33">
      <c r="A10" t="s">
        <v>121</v>
      </c>
      <c r="B10" t="s">
        <v>233</v>
      </c>
      <c r="C10" s="19" t="s">
        <v>214</v>
      </c>
      <c r="D10" s="19">
        <v>1</v>
      </c>
      <c r="E10">
        <f t="shared" si="0"/>
        <v>431.2</v>
      </c>
      <c r="F10">
        <f t="shared" si="1"/>
        <v>399.91699999999997</v>
      </c>
      <c r="I10" s="17" t="s">
        <v>118</v>
      </c>
      <c r="J10" s="76">
        <f>ROUND(Z$10 / SUM($AG$10:$AG$11) * $AG10, 1)</f>
        <v>37.9</v>
      </c>
      <c r="K10" s="76">
        <f t="shared" ref="K10:K11" si="11">ROUND(AA$10 / SUM($AG$10:$AG$11) * $AG10, 1)</f>
        <v>37.9</v>
      </c>
      <c r="L10" s="76">
        <f t="shared" ref="L10:L11" si="12">ROUND(AB$10 / SUM($AG$10:$AG$11) * $AG10, 1)</f>
        <v>37.9</v>
      </c>
      <c r="N10" s="82">
        <f t="shared" si="3"/>
        <v>2.3496390658174097E-2</v>
      </c>
      <c r="O10" s="82">
        <f t="shared" si="4"/>
        <v>2.3496390658174097E-2</v>
      </c>
      <c r="P10" s="82">
        <f t="shared" si="5"/>
        <v>2.3496390658174097E-2</v>
      </c>
      <c r="R10" s="84">
        <f t="shared" si="6"/>
        <v>37.9</v>
      </c>
      <c r="S10" s="84">
        <f t="shared" si="7"/>
        <v>37.9</v>
      </c>
      <c r="T10" s="84">
        <f t="shared" si="8"/>
        <v>37.9</v>
      </c>
      <c r="V10">
        <f>(1+ VLOOKUP($I10,'vomcost mult'!$N$10:$R$32,5, FALSE))-1</f>
        <v>0.25</v>
      </c>
      <c r="Y10" s="17" t="s">
        <v>74</v>
      </c>
      <c r="Z10">
        <v>100</v>
      </c>
      <c r="AA10">
        <v>100</v>
      </c>
      <c r="AB10">
        <v>100</v>
      </c>
      <c r="AD10" s="17" t="s">
        <v>74</v>
      </c>
      <c r="AE10" s="17" t="str">
        <f t="shared" si="9"/>
        <v>DKE1</v>
      </c>
      <c r="AF10" s="17" t="s">
        <v>293</v>
      </c>
      <c r="AG10" s="19">
        <v>14.13</v>
      </c>
    </row>
    <row r="11" spans="1:33">
      <c r="A11" t="s">
        <v>122</v>
      </c>
      <c r="B11" t="s">
        <v>233</v>
      </c>
      <c r="C11" s="19" t="s">
        <v>214</v>
      </c>
      <c r="D11" s="19">
        <v>1</v>
      </c>
      <c r="E11">
        <f t="shared" si="0"/>
        <v>200</v>
      </c>
      <c r="F11">
        <f t="shared" si="1"/>
        <v>400.108</v>
      </c>
      <c r="I11" s="17" t="s">
        <v>119</v>
      </c>
      <c r="J11" s="76">
        <f t="shared" ref="J11" si="13">ROUND(Z$10 / SUM($AG$10:$AG$11) * $AG11, 1)</f>
        <v>62.1</v>
      </c>
      <c r="K11" s="76">
        <f t="shared" si="11"/>
        <v>62.1</v>
      </c>
      <c r="L11" s="76">
        <f t="shared" si="12"/>
        <v>62.1</v>
      </c>
      <c r="N11" s="82">
        <f t="shared" si="3"/>
        <v>2.3458214747736093E-2</v>
      </c>
      <c r="O11" s="82">
        <f t="shared" si="4"/>
        <v>2.3458214747736093E-2</v>
      </c>
      <c r="P11" s="82">
        <f t="shared" si="5"/>
        <v>2.3458214747736093E-2</v>
      </c>
      <c r="R11" s="84">
        <f t="shared" si="6"/>
        <v>62.1</v>
      </c>
      <c r="S11" s="84">
        <f t="shared" si="7"/>
        <v>62.1</v>
      </c>
      <c r="T11" s="84">
        <f t="shared" si="8"/>
        <v>62.1</v>
      </c>
      <c r="V11">
        <f>(1+ VLOOKUP($I11,'vomcost mult'!$N$10:$R$32,5, FALSE))-1</f>
        <v>0.23799999999999999</v>
      </c>
      <c r="Y11" s="17" t="s">
        <v>73</v>
      </c>
      <c r="Z11">
        <v>200</v>
      </c>
      <c r="AA11">
        <v>200</v>
      </c>
      <c r="AB11">
        <v>100</v>
      </c>
      <c r="AD11" s="17" t="s">
        <v>74</v>
      </c>
      <c r="AE11" s="17" t="str">
        <f t="shared" si="9"/>
        <v>DKW1</v>
      </c>
      <c r="AF11" s="17" t="s">
        <v>292</v>
      </c>
      <c r="AG11" s="19">
        <v>23.19</v>
      </c>
    </row>
    <row r="12" spans="1:33">
      <c r="A12" t="s">
        <v>123</v>
      </c>
      <c r="B12" t="s">
        <v>233</v>
      </c>
      <c r="C12" s="19" t="s">
        <v>214</v>
      </c>
      <c r="D12" s="19">
        <v>1</v>
      </c>
      <c r="E12">
        <f t="shared" si="0"/>
        <v>900</v>
      </c>
      <c r="F12">
        <f t="shared" si="1"/>
        <v>400.05399999999997</v>
      </c>
      <c r="I12" s="17" t="s">
        <v>120</v>
      </c>
      <c r="J12" s="77">
        <f>ROUND(Z$7 / SUM($AG$12,$AG$16,$AG$17)*$AG$12, 1)</f>
        <v>25.5</v>
      </c>
      <c r="K12" s="77">
        <f>ROUND(AA$7 / SUM($AG$12,$AG$16,$AG$17)*$AG$12, 1)</f>
        <v>25.5</v>
      </c>
      <c r="L12" s="77">
        <f>ROUND(AB$7 / SUM($AG$12,$AG$16,$AG$17)*$AG$12, 1)</f>
        <v>25.5</v>
      </c>
      <c r="N12" s="82">
        <f t="shared" si="3"/>
        <v>2.2724313326551376E-2</v>
      </c>
      <c r="O12" s="82">
        <f t="shared" si="4"/>
        <v>2.2724313326551376E-2</v>
      </c>
      <c r="P12" s="82">
        <f t="shared" si="5"/>
        <v>2.2724313326551376E-2</v>
      </c>
      <c r="R12" s="84">
        <f t="shared" si="6"/>
        <v>25.5</v>
      </c>
      <c r="S12" s="84">
        <f t="shared" si="7"/>
        <v>25.5</v>
      </c>
      <c r="T12" s="84">
        <f t="shared" si="8"/>
        <v>25.5</v>
      </c>
      <c r="V12">
        <f>(1+ VLOOKUP($I12,'vomcost mult'!$N$10:$R$32,5, FALSE))-1</f>
        <v>-0.20399999999999996</v>
      </c>
      <c r="Y12" s="17" t="s">
        <v>67</v>
      </c>
      <c r="Z12">
        <v>900</v>
      </c>
      <c r="AA12">
        <v>350</v>
      </c>
      <c r="AB12">
        <v>50</v>
      </c>
      <c r="AD12" s="17" t="s">
        <v>286</v>
      </c>
      <c r="AE12" s="17" t="str">
        <f t="shared" si="9"/>
        <v>EE00</v>
      </c>
      <c r="AF12" s="17" t="s">
        <v>294</v>
      </c>
      <c r="AG12" s="19">
        <v>9.83</v>
      </c>
    </row>
    <row r="13" spans="1:33">
      <c r="A13" t="s">
        <v>124</v>
      </c>
      <c r="B13" t="s">
        <v>233</v>
      </c>
      <c r="C13" s="19" t="s">
        <v>214</v>
      </c>
      <c r="D13" s="19">
        <v>1</v>
      </c>
      <c r="E13">
        <f t="shared" si="0"/>
        <v>35.9</v>
      </c>
      <c r="F13">
        <f t="shared" si="1"/>
        <v>399.767</v>
      </c>
      <c r="I13" s="17" t="s">
        <v>121</v>
      </c>
      <c r="J13" s="19" t="s">
        <v>220</v>
      </c>
      <c r="K13" s="19" t="s">
        <v>220</v>
      </c>
      <c r="L13" s="19" t="s">
        <v>220</v>
      </c>
      <c r="N13" s="82" t="str">
        <f t="shared" si="3"/>
        <v>-</v>
      </c>
      <c r="O13" s="82" t="str">
        <f t="shared" si="4"/>
        <v>-</v>
      </c>
      <c r="P13" s="82" t="str">
        <f t="shared" si="5"/>
        <v>-</v>
      </c>
      <c r="R13" s="84">
        <f t="shared" si="6"/>
        <v>431.2</v>
      </c>
      <c r="S13" s="84">
        <f t="shared" si="7"/>
        <v>394.7</v>
      </c>
      <c r="T13" s="84">
        <f t="shared" si="8"/>
        <v>525.20000000000005</v>
      </c>
      <c r="V13">
        <f>(1+ VLOOKUP($I13,'vomcost mult'!$N$10:$R$32,5, FALSE))-1</f>
        <v>-8.2999999999999963E-2</v>
      </c>
      <c r="Y13" s="17" t="s">
        <v>71</v>
      </c>
      <c r="Z13">
        <v>500</v>
      </c>
      <c r="AA13">
        <v>400</v>
      </c>
      <c r="AB13">
        <v>300</v>
      </c>
      <c r="AD13" s="17" t="s">
        <v>220</v>
      </c>
      <c r="AE13" s="17" t="str">
        <f t="shared" si="9"/>
        <v>ES00</v>
      </c>
      <c r="AF13" s="17" t="s">
        <v>295</v>
      </c>
      <c r="AG13" s="19">
        <v>250.3</v>
      </c>
    </row>
    <row r="14" spans="1:33">
      <c r="A14" t="s">
        <v>125</v>
      </c>
      <c r="B14" t="s">
        <v>233</v>
      </c>
      <c r="C14" s="19" t="s">
        <v>214</v>
      </c>
      <c r="D14" s="19">
        <v>1</v>
      </c>
      <c r="E14">
        <f t="shared" si="0"/>
        <v>18.600000000000001</v>
      </c>
      <c r="F14">
        <f t="shared" si="1"/>
        <v>399.70100000000002</v>
      </c>
      <c r="I14" s="17" t="s">
        <v>122</v>
      </c>
      <c r="J14" s="19">
        <f>Z11</f>
        <v>200</v>
      </c>
      <c r="K14" s="19">
        <f t="shared" ref="K14:L14" si="14">AA11</f>
        <v>200</v>
      </c>
      <c r="L14" s="19">
        <f t="shared" si="14"/>
        <v>100</v>
      </c>
      <c r="N14" s="82">
        <f t="shared" si="3"/>
        <v>2.1399780139245147E-2</v>
      </c>
      <c r="O14" s="82">
        <f t="shared" si="4"/>
        <v>2.1399780139245147E-2</v>
      </c>
      <c r="P14" s="82">
        <f t="shared" si="5"/>
        <v>1.0699890069622573E-2</v>
      </c>
      <c r="R14" s="84">
        <f t="shared" si="6"/>
        <v>200</v>
      </c>
      <c r="S14" s="84">
        <f t="shared" si="7"/>
        <v>200</v>
      </c>
      <c r="T14" s="84">
        <f t="shared" si="8"/>
        <v>100</v>
      </c>
      <c r="V14">
        <f>(1+ VLOOKUP($I14,'vomcost mult'!$N$10:$R$32,5, FALSE))-1</f>
        <v>0.1080000000000001</v>
      </c>
      <c r="Y14" s="17" t="s">
        <v>78</v>
      </c>
      <c r="Z14">
        <v>500</v>
      </c>
      <c r="AA14">
        <v>1300</v>
      </c>
      <c r="AB14">
        <v>1000</v>
      </c>
      <c r="AD14" s="17" t="s">
        <v>73</v>
      </c>
      <c r="AE14" s="17" t="str">
        <f t="shared" si="9"/>
        <v>FI00</v>
      </c>
      <c r="AF14" s="17" t="s">
        <v>296</v>
      </c>
      <c r="AG14" s="19">
        <v>81.87</v>
      </c>
    </row>
    <row r="15" spans="1:33">
      <c r="A15" t="s">
        <v>126</v>
      </c>
      <c r="B15" t="s">
        <v>233</v>
      </c>
      <c r="C15" s="19" t="s">
        <v>214</v>
      </c>
      <c r="D15" s="19">
        <v>1</v>
      </c>
      <c r="E15">
        <f t="shared" si="0"/>
        <v>500</v>
      </c>
      <c r="F15">
        <f t="shared" si="1"/>
        <v>400.18</v>
      </c>
      <c r="I15" s="17" t="s">
        <v>123</v>
      </c>
      <c r="J15" s="19">
        <f>Z12</f>
        <v>900</v>
      </c>
      <c r="K15" s="19">
        <f t="shared" ref="K15:L15" si="15">AA12</f>
        <v>350</v>
      </c>
      <c r="L15" s="19">
        <f t="shared" si="15"/>
        <v>50</v>
      </c>
      <c r="N15" s="82">
        <f t="shared" si="3"/>
        <v>1.7935709898309712E-2</v>
      </c>
      <c r="O15" s="82">
        <f t="shared" si="4"/>
        <v>6.9749982937871106E-3</v>
      </c>
      <c r="P15" s="82">
        <f t="shared" si="5"/>
        <v>9.9642832768387303E-4</v>
      </c>
      <c r="R15" s="84">
        <f t="shared" si="6"/>
        <v>900</v>
      </c>
      <c r="S15" s="84">
        <f t="shared" si="7"/>
        <v>350</v>
      </c>
      <c r="T15" s="84">
        <f t="shared" si="8"/>
        <v>50</v>
      </c>
      <c r="V15">
        <f>(1+ VLOOKUP($I15,'vomcost mult'!$N$10:$R$32,5, FALSE))-1</f>
        <v>5.4000000000000048E-2</v>
      </c>
      <c r="Y15" s="17" t="s">
        <v>72</v>
      </c>
      <c r="Z15">
        <v>300</v>
      </c>
      <c r="AA15">
        <v>100</v>
      </c>
      <c r="AB15">
        <v>100</v>
      </c>
      <c r="AD15" s="17" t="s">
        <v>67</v>
      </c>
      <c r="AE15" s="17" t="str">
        <f t="shared" si="9"/>
        <v>FR00</v>
      </c>
      <c r="AF15" s="17" t="s">
        <v>297</v>
      </c>
      <c r="AG15" s="19">
        <v>439.57</v>
      </c>
    </row>
    <row r="16" spans="1:33">
      <c r="A16" t="s">
        <v>127</v>
      </c>
      <c r="B16" t="s">
        <v>233</v>
      </c>
      <c r="C16" s="19" t="s">
        <v>214</v>
      </c>
      <c r="D16" s="19">
        <v>1</v>
      </c>
      <c r="E16">
        <f t="shared" si="0"/>
        <v>154.4</v>
      </c>
      <c r="F16">
        <f t="shared" si="1"/>
        <v>400.31</v>
      </c>
      <c r="I16" s="17" t="s">
        <v>124</v>
      </c>
      <c r="J16" s="78">
        <f>ROUND(Z$7 / SUM($AG$12,$AG$16,$AG$17)*$AG$16, 1)</f>
        <v>35.9</v>
      </c>
      <c r="K16" s="78">
        <f t="shared" ref="K16:L16" si="16">ROUND(AA$7 / SUM($AG$12,$AG$16,$AG$17)*$AG$16, 1)</f>
        <v>35.9</v>
      </c>
      <c r="L16" s="78">
        <f t="shared" si="16"/>
        <v>35.9</v>
      </c>
      <c r="N16" s="82">
        <f t="shared" si="3"/>
        <v>2.2722832369942197E-2</v>
      </c>
      <c r="O16" s="82">
        <f t="shared" si="4"/>
        <v>2.2722832369942197E-2</v>
      </c>
      <c r="P16" s="82">
        <f t="shared" si="5"/>
        <v>2.2722832369942197E-2</v>
      </c>
      <c r="R16" s="84">
        <f t="shared" si="6"/>
        <v>35.9</v>
      </c>
      <c r="S16" s="84">
        <f t="shared" si="7"/>
        <v>35.9</v>
      </c>
      <c r="T16" s="84">
        <f t="shared" si="8"/>
        <v>35.9</v>
      </c>
      <c r="V16">
        <f>(1+ VLOOKUP($I16,'vomcost mult'!$N$10:$R$32,5, FALSE))-1</f>
        <v>-0.23299999999999998</v>
      </c>
      <c r="Y16" s="17" t="s">
        <v>68</v>
      </c>
      <c r="Z16">
        <v>300</v>
      </c>
      <c r="AA16">
        <v>200</v>
      </c>
      <c r="AB16">
        <v>200</v>
      </c>
      <c r="AD16" s="17" t="s">
        <v>286</v>
      </c>
      <c r="AE16" s="17" t="str">
        <f t="shared" si="9"/>
        <v>LT00</v>
      </c>
      <c r="AF16" s="17" t="s">
        <v>298</v>
      </c>
      <c r="AG16" s="19">
        <v>13.84</v>
      </c>
    </row>
    <row r="17" spans="1:33">
      <c r="A17" t="s">
        <v>128</v>
      </c>
      <c r="B17" t="s">
        <v>233</v>
      </c>
      <c r="C17" s="19" t="s">
        <v>214</v>
      </c>
      <c r="D17" s="19">
        <v>1</v>
      </c>
      <c r="E17">
        <f t="shared" si="0"/>
        <v>107.6</v>
      </c>
      <c r="F17">
        <f t="shared" si="1"/>
        <v>400.32499999999999</v>
      </c>
      <c r="I17" s="17" t="s">
        <v>125</v>
      </c>
      <c r="J17" s="79">
        <f>ROUND(Z$7 / SUM($AG$12,$AG$16,$AG$17)*$AG$17, 1)</f>
        <v>18.600000000000001</v>
      </c>
      <c r="K17" s="79">
        <f t="shared" ref="K17:L17" si="17">ROUND(AA$7 / SUM($AG$12,$AG$16,$AG$17)*$AG$17, 1)</f>
        <v>18.600000000000001</v>
      </c>
      <c r="L17" s="79">
        <f t="shared" si="17"/>
        <v>18.600000000000001</v>
      </c>
      <c r="N17" s="82">
        <f t="shared" si="3"/>
        <v>2.2788251748251751E-2</v>
      </c>
      <c r="O17" s="82">
        <f t="shared" si="4"/>
        <v>2.2788251748251751E-2</v>
      </c>
      <c r="P17" s="82">
        <f t="shared" si="5"/>
        <v>2.2788251748251751E-2</v>
      </c>
      <c r="R17" s="84">
        <f t="shared" si="6"/>
        <v>18.600000000000001</v>
      </c>
      <c r="S17" s="84">
        <f t="shared" si="7"/>
        <v>18.600000000000001</v>
      </c>
      <c r="T17" s="84">
        <f t="shared" si="8"/>
        <v>18.600000000000001</v>
      </c>
      <c r="V17">
        <f>(1+ VLOOKUP($I17,'vomcost mult'!$N$10:$R$32,5, FALSE))-1</f>
        <v>-0.29899999999999993</v>
      </c>
      <c r="AD17" s="17" t="s">
        <v>286</v>
      </c>
      <c r="AE17" s="17" t="str">
        <f t="shared" si="9"/>
        <v>LV00</v>
      </c>
      <c r="AF17" s="17" t="s">
        <v>299</v>
      </c>
      <c r="AG17" s="19">
        <v>7.15</v>
      </c>
    </row>
    <row r="18" spans="1:33">
      <c r="A18" t="s">
        <v>129</v>
      </c>
      <c r="B18" t="s">
        <v>233</v>
      </c>
      <c r="C18" s="19" t="s">
        <v>214</v>
      </c>
      <c r="D18" s="19">
        <v>1</v>
      </c>
      <c r="E18">
        <f t="shared" si="0"/>
        <v>183.6</v>
      </c>
      <c r="F18">
        <f t="shared" si="1"/>
        <v>400.29599999999999</v>
      </c>
      <c r="I18" s="17" t="s">
        <v>126</v>
      </c>
      <c r="J18" s="19">
        <f>Z13</f>
        <v>500</v>
      </c>
      <c r="K18" s="19">
        <f t="shared" ref="K18:L18" si="18">AA13</f>
        <v>400</v>
      </c>
      <c r="L18" s="19">
        <f t="shared" si="18"/>
        <v>300</v>
      </c>
      <c r="N18" s="82">
        <f t="shared" si="3"/>
        <v>3.6548731642189587E-2</v>
      </c>
      <c r="O18" s="82">
        <f t="shared" si="4"/>
        <v>2.9238985313751669E-2</v>
      </c>
      <c r="P18" s="82">
        <f t="shared" si="5"/>
        <v>2.1929238985313751E-2</v>
      </c>
      <c r="R18" s="84">
        <f t="shared" si="6"/>
        <v>500</v>
      </c>
      <c r="S18" s="84">
        <f t="shared" si="7"/>
        <v>400</v>
      </c>
      <c r="T18" s="84">
        <f t="shared" si="8"/>
        <v>300</v>
      </c>
      <c r="V18">
        <f>(1+ VLOOKUP($I18,'vomcost mult'!$N$10:$R$32,5, FALSE))-1</f>
        <v>0.17999999999999994</v>
      </c>
      <c r="Y18" s="17" t="s">
        <v>287</v>
      </c>
      <c r="Z18">
        <f>SUM(Z6:Z16)</f>
        <v>4130</v>
      </c>
      <c r="AA18">
        <f>SUM(AA6:AA16)</f>
        <v>3780</v>
      </c>
      <c r="AB18">
        <f>SUM(AB6:AB16)</f>
        <v>5030</v>
      </c>
      <c r="AD18" s="17" t="s">
        <v>71</v>
      </c>
      <c r="AE18" s="17" t="str">
        <f t="shared" si="9"/>
        <v>NL00</v>
      </c>
      <c r="AF18" s="17" t="s">
        <v>300</v>
      </c>
      <c r="AG18" s="19">
        <v>119.84</v>
      </c>
    </row>
    <row r="19" spans="1:33">
      <c r="A19" t="s">
        <v>130</v>
      </c>
      <c r="B19" t="s">
        <v>233</v>
      </c>
      <c r="C19" s="19" t="s">
        <v>214</v>
      </c>
      <c r="D19" s="19">
        <v>1</v>
      </c>
      <c r="E19">
        <f t="shared" si="0"/>
        <v>300</v>
      </c>
      <c r="F19">
        <f t="shared" si="1"/>
        <v>399.69</v>
      </c>
      <c r="I19" s="17" t="s">
        <v>127</v>
      </c>
      <c r="J19" s="80">
        <f>ROUND(Z$14 / SUM($AG$19:$AG$21) * $AG19, 1)</f>
        <v>173.3</v>
      </c>
      <c r="K19" s="80">
        <f t="shared" ref="K19:K21" si="19">ROUND(AA$14 / SUM($AG$19:$AG$21) * $AG19, 1)</f>
        <v>450.5</v>
      </c>
      <c r="L19" s="80">
        <f t="shared" ref="L19:L21" si="20">ROUND(AB$14 / SUM($AG$19:$AG$21) * $AG19, 1)</f>
        <v>346.5</v>
      </c>
      <c r="N19" s="82">
        <f t="shared" si="3"/>
        <v>5.0823836625376637E-2</v>
      </c>
      <c r="O19" s="82">
        <f t="shared" si="4"/>
        <v>0.13211851355875462</v>
      </c>
      <c r="P19" s="82">
        <f t="shared" si="5"/>
        <v>0.10161834616672247</v>
      </c>
      <c r="R19" s="84">
        <f t="shared" si="6"/>
        <v>154.4</v>
      </c>
      <c r="S19" s="84">
        <f t="shared" si="7"/>
        <v>141.30000000000001</v>
      </c>
      <c r="T19" s="84">
        <f t="shared" si="8"/>
        <v>188</v>
      </c>
      <c r="V19">
        <f>(1+ VLOOKUP($I19,'vomcost mult'!$N$10:$R$32,5, FALSE))-1</f>
        <v>0.31000000000000005</v>
      </c>
      <c r="AD19" s="17" t="s">
        <v>78</v>
      </c>
      <c r="AE19" s="17" t="str">
        <f t="shared" si="9"/>
        <v>NOM1</v>
      </c>
      <c r="AF19" s="17" t="s">
        <v>302</v>
      </c>
      <c r="AG19" s="19">
        <v>29.87</v>
      </c>
    </row>
    <row r="20" spans="1:33">
      <c r="A20" t="s">
        <v>131</v>
      </c>
      <c r="B20" t="s">
        <v>233</v>
      </c>
      <c r="C20" s="19" t="s">
        <v>214</v>
      </c>
      <c r="D20" s="19">
        <v>1</v>
      </c>
      <c r="E20">
        <f t="shared" si="0"/>
        <v>24.7</v>
      </c>
      <c r="F20">
        <f t="shared" si="1"/>
        <v>400.18099999999998</v>
      </c>
      <c r="I20" s="17" t="s">
        <v>128</v>
      </c>
      <c r="J20" s="80">
        <f t="shared" ref="J20:J21" si="21">ROUND(Z$14 / SUM($AG$19:$AG$21) * $AG20, 1)</f>
        <v>120.7</v>
      </c>
      <c r="K20" s="80">
        <f t="shared" si="19"/>
        <v>313.8</v>
      </c>
      <c r="L20" s="80">
        <f t="shared" si="20"/>
        <v>241.4</v>
      </c>
      <c r="N20" s="82">
        <f t="shared" si="3"/>
        <v>5.0808841902931286E-2</v>
      </c>
      <c r="O20" s="82">
        <f t="shared" si="4"/>
        <v>0.13209456991830851</v>
      </c>
      <c r="P20" s="82">
        <f t="shared" si="5"/>
        <v>0.10161768380586257</v>
      </c>
      <c r="R20" s="84">
        <f t="shared" si="6"/>
        <v>107.6</v>
      </c>
      <c r="S20" s="84">
        <f t="shared" si="7"/>
        <v>98.4</v>
      </c>
      <c r="T20" s="84">
        <f t="shared" si="8"/>
        <v>131</v>
      </c>
      <c r="V20">
        <f>(1+ VLOOKUP($I20,'vomcost mult'!$N$10:$R$32,5, FALSE))-1</f>
        <v>0.32499999999999996</v>
      </c>
      <c r="AD20" s="17" t="s">
        <v>78</v>
      </c>
      <c r="AE20" s="17" t="str">
        <f t="shared" si="9"/>
        <v>NON1</v>
      </c>
      <c r="AF20" s="17" t="s">
        <v>303</v>
      </c>
      <c r="AG20" s="19">
        <v>20.81</v>
      </c>
    </row>
    <row r="21" spans="1:33">
      <c r="A21" t="s">
        <v>132</v>
      </c>
      <c r="B21" t="s">
        <v>233</v>
      </c>
      <c r="C21" s="19" t="s">
        <v>214</v>
      </c>
      <c r="D21" s="19">
        <v>1</v>
      </c>
      <c r="E21">
        <f t="shared" si="0"/>
        <v>33.9</v>
      </c>
      <c r="F21">
        <f t="shared" si="1"/>
        <v>400.173</v>
      </c>
      <c r="I21" s="17" t="s">
        <v>129</v>
      </c>
      <c r="J21" s="80">
        <f t="shared" si="21"/>
        <v>206</v>
      </c>
      <c r="K21" s="80">
        <f t="shared" si="19"/>
        <v>535.70000000000005</v>
      </c>
      <c r="L21" s="80">
        <f t="shared" si="20"/>
        <v>412.1</v>
      </c>
      <c r="N21" s="82">
        <f t="shared" si="3"/>
        <v>5.0804054054054054E-2</v>
      </c>
      <c r="O21" s="82">
        <f t="shared" si="4"/>
        <v>0.13211520270270272</v>
      </c>
      <c r="P21" s="82">
        <f t="shared" si="5"/>
        <v>0.10163277027027028</v>
      </c>
      <c r="R21" s="84">
        <f t="shared" si="6"/>
        <v>183.6</v>
      </c>
      <c r="S21" s="84">
        <f t="shared" si="7"/>
        <v>168</v>
      </c>
      <c r="T21" s="84">
        <f t="shared" si="8"/>
        <v>223.6</v>
      </c>
      <c r="V21">
        <f>(1+ VLOOKUP($I21,'vomcost mult'!$N$10:$R$32,5, FALSE))-1</f>
        <v>0.29600000000000004</v>
      </c>
      <c r="AD21" s="17" t="s">
        <v>78</v>
      </c>
      <c r="AE21" s="17" t="str">
        <f t="shared" si="9"/>
        <v>NOS0</v>
      </c>
      <c r="AF21" s="17" t="s">
        <v>301</v>
      </c>
      <c r="AG21" s="19">
        <v>35.520000000000003</v>
      </c>
    </row>
    <row r="22" spans="1:33">
      <c r="A22" t="s">
        <v>133</v>
      </c>
      <c r="B22" t="s">
        <v>233</v>
      </c>
      <c r="C22" s="19" t="s">
        <v>214</v>
      </c>
      <c r="D22" s="19">
        <v>1</v>
      </c>
      <c r="E22">
        <f t="shared" si="0"/>
        <v>190.9</v>
      </c>
      <c r="F22">
        <f t="shared" si="1"/>
        <v>400.16500000000002</v>
      </c>
      <c r="I22" s="17" t="s">
        <v>130</v>
      </c>
      <c r="J22" s="19">
        <f>Z15</f>
        <v>300</v>
      </c>
      <c r="K22" s="19">
        <f t="shared" ref="K22:L22" si="22">AA15</f>
        <v>100</v>
      </c>
      <c r="L22" s="19">
        <f t="shared" si="22"/>
        <v>100</v>
      </c>
      <c r="N22" s="82">
        <f t="shared" si="3"/>
        <v>1.3822121706201021E-2</v>
      </c>
      <c r="O22" s="82">
        <f t="shared" si="4"/>
        <v>4.6073739020670067E-3</v>
      </c>
      <c r="P22" s="82">
        <f t="shared" si="5"/>
        <v>4.6073739020670067E-3</v>
      </c>
      <c r="R22" s="84">
        <f t="shared" si="6"/>
        <v>300</v>
      </c>
      <c r="S22" s="84">
        <f t="shared" si="7"/>
        <v>100</v>
      </c>
      <c r="T22" s="84">
        <f t="shared" si="8"/>
        <v>100</v>
      </c>
      <c r="V22">
        <f>(1+ VLOOKUP($I22,'vomcost mult'!$N$10:$R$32,5, FALSE))-1</f>
        <v>-0.31000000000000005</v>
      </c>
      <c r="AD22" s="17" t="s">
        <v>72</v>
      </c>
      <c r="AE22" s="17" t="str">
        <f t="shared" si="9"/>
        <v>PL00</v>
      </c>
      <c r="AF22" s="17" t="s">
        <v>304</v>
      </c>
      <c r="AG22" s="19">
        <v>190.13</v>
      </c>
    </row>
    <row r="23" spans="1:33">
      <c r="A23" t="s">
        <v>134</v>
      </c>
      <c r="B23" t="s">
        <v>233</v>
      </c>
      <c r="C23" s="19" t="s">
        <v>214</v>
      </c>
      <c r="D23" s="19">
        <v>1</v>
      </c>
      <c r="E23">
        <f t="shared" si="0"/>
        <v>50.4</v>
      </c>
      <c r="F23">
        <f t="shared" si="1"/>
        <v>400.15699999999998</v>
      </c>
      <c r="I23" s="17" t="s">
        <v>131</v>
      </c>
      <c r="J23" s="81">
        <f>ROUND(Z$16 / SUM($AG$23:$AG$26) * $AG23, 1)</f>
        <v>24.7</v>
      </c>
      <c r="K23" s="81">
        <f t="shared" ref="K23:K26" si="23">ROUND(AA$16 / SUM($AG$23:$AG$26) * $AG23, 1)</f>
        <v>16.5</v>
      </c>
      <c r="L23" s="81">
        <f t="shared" ref="L23:L26" si="24">ROUND(AB$16 / SUM($AG$23:$AG$26) * $AG23, 1)</f>
        <v>16.5</v>
      </c>
      <c r="N23" s="82">
        <f t="shared" si="3"/>
        <v>1.9778062157221207E-2</v>
      </c>
      <c r="O23" s="82">
        <f t="shared" si="4"/>
        <v>1.3212065813528337E-2</v>
      </c>
      <c r="P23" s="82">
        <f t="shared" si="5"/>
        <v>1.3212065813528337E-2</v>
      </c>
      <c r="R23" s="84">
        <f t="shared" si="6"/>
        <v>24.7</v>
      </c>
      <c r="S23" s="84">
        <f t="shared" si="7"/>
        <v>16.5</v>
      </c>
      <c r="T23" s="84">
        <f t="shared" si="8"/>
        <v>16.5</v>
      </c>
      <c r="V23">
        <f>(1+ VLOOKUP($I23,'vomcost mult'!$N$10:$R$32,5, FALSE))-1</f>
        <v>0.18100000000000005</v>
      </c>
      <c r="AD23" s="17" t="s">
        <v>68</v>
      </c>
      <c r="AE23" s="17" t="str">
        <f t="shared" si="9"/>
        <v>SE01</v>
      </c>
      <c r="AF23" s="17" t="s">
        <v>305</v>
      </c>
      <c r="AG23" s="19">
        <v>10.94</v>
      </c>
    </row>
    <row r="24" spans="1:33">
      <c r="A24" t="s">
        <v>135</v>
      </c>
      <c r="B24" t="s">
        <v>233</v>
      </c>
      <c r="C24" s="19" t="s">
        <v>214</v>
      </c>
      <c r="D24" s="19">
        <v>1</v>
      </c>
      <c r="E24">
        <f t="shared" si="0"/>
        <v>479.8</v>
      </c>
      <c r="F24">
        <f t="shared" si="1"/>
        <v>400.16500000000002</v>
      </c>
      <c r="I24" s="17" t="s">
        <v>132</v>
      </c>
      <c r="J24" s="81">
        <f t="shared" ref="J24:J26" si="25">ROUND(Z$16 / SUM($AG$23:$AG$26) * $AG24, 1)</f>
        <v>33.9</v>
      </c>
      <c r="K24" s="81">
        <f t="shared" si="23"/>
        <v>22.6</v>
      </c>
      <c r="L24" s="81">
        <f t="shared" si="24"/>
        <v>22.6</v>
      </c>
      <c r="N24" s="82">
        <f t="shared" si="3"/>
        <v>1.9771238348868174E-2</v>
      </c>
      <c r="O24" s="82">
        <f t="shared" si="4"/>
        <v>1.3180825565912118E-2</v>
      </c>
      <c r="P24" s="82">
        <f t="shared" si="5"/>
        <v>1.3180825565912118E-2</v>
      </c>
      <c r="R24" s="84">
        <f t="shared" si="6"/>
        <v>33.9</v>
      </c>
      <c r="S24" s="84">
        <f t="shared" si="7"/>
        <v>22.6</v>
      </c>
      <c r="T24" s="84">
        <f t="shared" si="8"/>
        <v>22.6</v>
      </c>
      <c r="V24">
        <f>(1+ VLOOKUP($I24,'vomcost mult'!$N$10:$R$32,5, FALSE))-1</f>
        <v>0.17300000000000004</v>
      </c>
      <c r="Y24" s="75" t="s">
        <v>312</v>
      </c>
      <c r="AD24" s="17" t="s">
        <v>68</v>
      </c>
      <c r="AE24" s="17" t="str">
        <f t="shared" si="9"/>
        <v>SE02</v>
      </c>
      <c r="AF24" s="17" t="s">
        <v>306</v>
      </c>
      <c r="AG24" s="19">
        <v>15.02</v>
      </c>
    </row>
    <row r="25" spans="1:33">
      <c r="A25" s="17" t="s">
        <v>322</v>
      </c>
      <c r="C25" s="19"/>
      <c r="D25" s="19"/>
      <c r="I25" s="17" t="s">
        <v>133</v>
      </c>
      <c r="J25" s="81">
        <f t="shared" si="25"/>
        <v>190.9</v>
      </c>
      <c r="K25" s="81">
        <f t="shared" si="23"/>
        <v>127.3</v>
      </c>
      <c r="L25" s="81">
        <f t="shared" si="24"/>
        <v>127.3</v>
      </c>
      <c r="N25" s="82">
        <f t="shared" si="3"/>
        <v>1.9785660198769522E-2</v>
      </c>
      <c r="O25" s="82">
        <f t="shared" si="4"/>
        <v>1.3193894936109797E-2</v>
      </c>
      <c r="P25" s="82">
        <f t="shared" si="5"/>
        <v>1.3193894936109797E-2</v>
      </c>
      <c r="R25" s="84">
        <f t="shared" si="6"/>
        <v>190.9</v>
      </c>
      <c r="S25" s="84">
        <f t="shared" si="7"/>
        <v>127.3</v>
      </c>
      <c r="T25" s="84">
        <f t="shared" si="8"/>
        <v>127.3</v>
      </c>
      <c r="V25">
        <f>(1+ VLOOKUP($I25,'vomcost mult'!$N$10:$R$32,5, FALSE))-1</f>
        <v>0.16500000000000004</v>
      </c>
      <c r="AD25" s="17" t="s">
        <v>68</v>
      </c>
      <c r="AE25" s="17" t="str">
        <f t="shared" si="9"/>
        <v>SE03</v>
      </c>
      <c r="AF25" s="17" t="s">
        <v>307</v>
      </c>
      <c r="AG25" s="19">
        <v>84.52</v>
      </c>
    </row>
    <row r="26" spans="1:33">
      <c r="A26" t="s">
        <v>111</v>
      </c>
      <c r="B26" t="s">
        <v>278</v>
      </c>
      <c r="C26" s="19" t="s">
        <v>214</v>
      </c>
      <c r="D26" s="19">
        <v>1</v>
      </c>
      <c r="E26">
        <f>S6</f>
        <v>150</v>
      </c>
      <c r="F26">
        <f>$Z$29+V6</f>
        <v>1000.128</v>
      </c>
      <c r="I26" s="17" t="s">
        <v>134</v>
      </c>
      <c r="J26" s="81">
        <f t="shared" si="25"/>
        <v>50.4</v>
      </c>
      <c r="K26" s="81">
        <f t="shared" si="23"/>
        <v>33.6</v>
      </c>
      <c r="L26" s="81">
        <f t="shared" si="24"/>
        <v>33.6</v>
      </c>
      <c r="N26" s="82">
        <f t="shared" si="3"/>
        <v>1.9789511429852084E-2</v>
      </c>
      <c r="O26" s="82">
        <f t="shared" si="4"/>
        <v>1.3193007619901389E-2</v>
      </c>
      <c r="P26" s="82">
        <f t="shared" si="5"/>
        <v>1.3193007619901389E-2</v>
      </c>
      <c r="R26" s="84">
        <f t="shared" si="6"/>
        <v>50.4</v>
      </c>
      <c r="S26" s="84">
        <f t="shared" si="7"/>
        <v>33.6</v>
      </c>
      <c r="T26" s="84">
        <f t="shared" si="8"/>
        <v>33.6</v>
      </c>
      <c r="V26">
        <f>(1+ VLOOKUP($I26,'vomcost mult'!$N$10:$R$32,5, FALSE))-1</f>
        <v>0.15700000000000003</v>
      </c>
      <c r="AA26" s="17" t="s">
        <v>279</v>
      </c>
      <c r="AB26" s="17"/>
      <c r="AD26" s="17" t="s">
        <v>68</v>
      </c>
      <c r="AE26" s="17" t="str">
        <f t="shared" si="9"/>
        <v>SE04</v>
      </c>
      <c r="AF26" s="17" t="s">
        <v>308</v>
      </c>
      <c r="AG26" s="19">
        <v>22.31</v>
      </c>
    </row>
    <row r="27" spans="1:33">
      <c r="A27" t="s">
        <v>114</v>
      </c>
      <c r="B27" t="s">
        <v>278</v>
      </c>
      <c r="C27" s="19" t="s">
        <v>214</v>
      </c>
      <c r="D27" s="19">
        <v>1</v>
      </c>
      <c r="E27">
        <f t="shared" ref="E27:E47" si="26">S7</f>
        <v>100</v>
      </c>
      <c r="F27">
        <f t="shared" ref="F27:F47" si="27">$Z$29+V7</f>
        <v>1000.121</v>
      </c>
      <c r="I27" s="17" t="s">
        <v>135</v>
      </c>
      <c r="J27" s="19" t="s">
        <v>220</v>
      </c>
      <c r="K27" s="19" t="s">
        <v>220</v>
      </c>
      <c r="L27" s="19" t="s">
        <v>220</v>
      </c>
      <c r="N27" s="82" t="str">
        <f t="shared" si="3"/>
        <v>-</v>
      </c>
      <c r="O27" s="82" t="str">
        <f t="shared" si="4"/>
        <v>-</v>
      </c>
      <c r="P27" s="82" t="str">
        <f t="shared" si="5"/>
        <v>-</v>
      </c>
      <c r="R27" s="84">
        <f t="shared" si="6"/>
        <v>479.8</v>
      </c>
      <c r="S27" s="84">
        <f t="shared" si="7"/>
        <v>439.2</v>
      </c>
      <c r="T27" s="84">
        <f t="shared" si="8"/>
        <v>584.4</v>
      </c>
      <c r="V27">
        <f>(1+ VLOOKUP($I27,'vomcost mult'!$N$10:$R$32,5, FALSE))-1</f>
        <v>0.16500000000000004</v>
      </c>
      <c r="Y27" s="17" t="s">
        <v>209</v>
      </c>
      <c r="Z27" s="17" t="s">
        <v>228</v>
      </c>
      <c r="AA27" s="17" t="s">
        <v>280</v>
      </c>
      <c r="AB27" s="17" t="s">
        <v>281</v>
      </c>
      <c r="AD27" s="17" t="s">
        <v>220</v>
      </c>
      <c r="AE27" s="17" t="str">
        <f t="shared" si="9"/>
        <v>UK00</v>
      </c>
      <c r="AF27" s="17" t="s">
        <v>309</v>
      </c>
      <c r="AG27" s="19">
        <v>278.5</v>
      </c>
    </row>
    <row r="28" spans="1:33">
      <c r="A28" t="s">
        <v>116</v>
      </c>
      <c r="B28" t="s">
        <v>278</v>
      </c>
      <c r="C28" s="19" t="s">
        <v>214</v>
      </c>
      <c r="D28" s="19">
        <v>1</v>
      </c>
      <c r="E28">
        <f t="shared" si="26"/>
        <v>96.1</v>
      </c>
      <c r="F28">
        <f t="shared" si="27"/>
        <v>1000.456</v>
      </c>
      <c r="Y28" s="17" t="s">
        <v>277</v>
      </c>
      <c r="Z28">
        <v>2000</v>
      </c>
      <c r="AA28">
        <v>1400</v>
      </c>
      <c r="AB28">
        <v>4000</v>
      </c>
    </row>
    <row r="29" spans="1:33">
      <c r="A29" t="s">
        <v>117</v>
      </c>
      <c r="B29" t="s">
        <v>278</v>
      </c>
      <c r="C29" s="19" t="s">
        <v>214</v>
      </c>
      <c r="D29" s="19">
        <v>1</v>
      </c>
      <c r="E29">
        <f t="shared" si="26"/>
        <v>800</v>
      </c>
      <c r="F29">
        <f t="shared" si="27"/>
        <v>1000.1079999999999</v>
      </c>
      <c r="I29" s="17" t="s">
        <v>287</v>
      </c>
      <c r="J29" s="19">
        <f t="shared" ref="J29:L29" si="28">SUM(J6:J27)</f>
        <v>4129.8999999999996</v>
      </c>
      <c r="K29" s="19">
        <f t="shared" si="28"/>
        <v>3780</v>
      </c>
      <c r="L29" s="19">
        <f t="shared" si="28"/>
        <v>5030.0000000000009</v>
      </c>
      <c r="N29" s="82">
        <f>IFERROR(J29/ ($AG29*10^6/8760), "-")</f>
        <v>1.5092686427066604E-2</v>
      </c>
      <c r="O29" s="82">
        <f>IFERROR(K29/ ($AG29*10^6/8760), "-")</f>
        <v>1.3813979683360799E-2</v>
      </c>
      <c r="P29" s="82">
        <f>IFERROR(L29/ ($AG29*10^6/8760), "-")</f>
        <v>1.8382094658017153E-2</v>
      </c>
      <c r="R29" s="19">
        <f t="shared" ref="R29:T29" si="29">SUM(R6:R27)</f>
        <v>5091.4999999999982</v>
      </c>
      <c r="S29" s="19">
        <f t="shared" si="29"/>
        <v>3817.7000000000003</v>
      </c>
      <c r="T29" s="19">
        <f t="shared" si="29"/>
        <v>5810.1000000000013</v>
      </c>
      <c r="V29" s="19"/>
      <c r="Y29" s="17" t="s">
        <v>278</v>
      </c>
      <c r="Z29">
        <v>1000</v>
      </c>
      <c r="AA29">
        <v>600</v>
      </c>
      <c r="AB29">
        <v>1400</v>
      </c>
      <c r="AD29" s="17" t="s">
        <v>287</v>
      </c>
      <c r="AG29" s="19">
        <f>SUM(AG6:AG27)</f>
        <v>2397.0499999999997</v>
      </c>
    </row>
    <row r="30" spans="1:33">
      <c r="A30" t="s">
        <v>118</v>
      </c>
      <c r="B30" t="s">
        <v>278</v>
      </c>
      <c r="C30" s="19" t="s">
        <v>214</v>
      </c>
      <c r="D30" s="19">
        <v>1</v>
      </c>
      <c r="E30">
        <f t="shared" si="26"/>
        <v>37.9</v>
      </c>
      <c r="F30">
        <f t="shared" si="27"/>
        <v>1000.25</v>
      </c>
      <c r="Y30" s="17" t="s">
        <v>233</v>
      </c>
      <c r="Z30">
        <v>400</v>
      </c>
      <c r="AA30">
        <v>200</v>
      </c>
      <c r="AB30">
        <v>600</v>
      </c>
    </row>
    <row r="31" spans="1:33">
      <c r="A31" t="s">
        <v>119</v>
      </c>
      <c r="B31" t="s">
        <v>278</v>
      </c>
      <c r="C31" s="19" t="s">
        <v>214</v>
      </c>
      <c r="D31" s="19">
        <v>1</v>
      </c>
      <c r="E31">
        <f t="shared" si="26"/>
        <v>62.1</v>
      </c>
      <c r="F31">
        <f t="shared" si="27"/>
        <v>1000.2380000000001</v>
      </c>
    </row>
    <row r="32" spans="1:33">
      <c r="A32" t="s">
        <v>120</v>
      </c>
      <c r="B32" t="s">
        <v>278</v>
      </c>
      <c r="C32" s="19" t="s">
        <v>214</v>
      </c>
      <c r="D32" s="19">
        <v>1</v>
      </c>
      <c r="E32">
        <f t="shared" si="26"/>
        <v>25.5</v>
      </c>
      <c r="F32">
        <f t="shared" si="27"/>
        <v>999.79600000000005</v>
      </c>
    </row>
    <row r="33" spans="1:6">
      <c r="A33" t="s">
        <v>121</v>
      </c>
      <c r="B33" t="s">
        <v>278</v>
      </c>
      <c r="C33" s="19" t="s">
        <v>214</v>
      </c>
      <c r="D33" s="19">
        <v>1</v>
      </c>
      <c r="E33">
        <f t="shared" si="26"/>
        <v>394.7</v>
      </c>
      <c r="F33">
        <f t="shared" si="27"/>
        <v>999.91700000000003</v>
      </c>
    </row>
    <row r="34" spans="1:6">
      <c r="A34" t="s">
        <v>122</v>
      </c>
      <c r="B34" t="s">
        <v>278</v>
      </c>
      <c r="C34" s="19" t="s">
        <v>214</v>
      </c>
      <c r="D34" s="19">
        <v>1</v>
      </c>
      <c r="E34">
        <f t="shared" si="26"/>
        <v>200</v>
      </c>
      <c r="F34">
        <f t="shared" si="27"/>
        <v>1000.1079999999999</v>
      </c>
    </row>
    <row r="35" spans="1:6">
      <c r="A35" t="s">
        <v>123</v>
      </c>
      <c r="B35" t="s">
        <v>278</v>
      </c>
      <c r="C35" s="19" t="s">
        <v>214</v>
      </c>
      <c r="D35" s="19">
        <v>1</v>
      </c>
      <c r="E35">
        <f t="shared" si="26"/>
        <v>350</v>
      </c>
      <c r="F35">
        <f t="shared" si="27"/>
        <v>1000.054</v>
      </c>
    </row>
    <row r="36" spans="1:6">
      <c r="A36" t="s">
        <v>124</v>
      </c>
      <c r="B36" t="s">
        <v>278</v>
      </c>
      <c r="C36" s="19" t="s">
        <v>214</v>
      </c>
      <c r="D36" s="19">
        <v>1</v>
      </c>
      <c r="E36">
        <f t="shared" si="26"/>
        <v>35.9</v>
      </c>
      <c r="F36">
        <f t="shared" si="27"/>
        <v>999.76700000000005</v>
      </c>
    </row>
    <row r="37" spans="1:6">
      <c r="A37" t="s">
        <v>125</v>
      </c>
      <c r="B37" t="s">
        <v>278</v>
      </c>
      <c r="C37" s="19" t="s">
        <v>214</v>
      </c>
      <c r="D37" s="19">
        <v>1</v>
      </c>
      <c r="E37">
        <f t="shared" si="26"/>
        <v>18.600000000000001</v>
      </c>
      <c r="F37">
        <f t="shared" si="27"/>
        <v>999.70100000000002</v>
      </c>
    </row>
    <row r="38" spans="1:6">
      <c r="A38" t="s">
        <v>126</v>
      </c>
      <c r="B38" t="s">
        <v>278</v>
      </c>
      <c r="C38" s="19" t="s">
        <v>214</v>
      </c>
      <c r="D38" s="19">
        <v>1</v>
      </c>
      <c r="E38">
        <f t="shared" si="26"/>
        <v>400</v>
      </c>
      <c r="F38">
        <f t="shared" si="27"/>
        <v>1000.18</v>
      </c>
    </row>
    <row r="39" spans="1:6">
      <c r="A39" t="s">
        <v>127</v>
      </c>
      <c r="B39" t="s">
        <v>278</v>
      </c>
      <c r="C39" s="19" t="s">
        <v>214</v>
      </c>
      <c r="D39" s="19">
        <v>1</v>
      </c>
      <c r="E39">
        <f t="shared" si="26"/>
        <v>141.30000000000001</v>
      </c>
      <c r="F39">
        <f t="shared" si="27"/>
        <v>1000.31</v>
      </c>
    </row>
    <row r="40" spans="1:6">
      <c r="A40" t="s">
        <v>128</v>
      </c>
      <c r="B40" t="s">
        <v>278</v>
      </c>
      <c r="C40" s="19" t="s">
        <v>214</v>
      </c>
      <c r="D40" s="19">
        <v>1</v>
      </c>
      <c r="E40">
        <f t="shared" si="26"/>
        <v>98.4</v>
      </c>
      <c r="F40">
        <f t="shared" si="27"/>
        <v>1000.325</v>
      </c>
    </row>
    <row r="41" spans="1:6">
      <c r="A41" t="s">
        <v>129</v>
      </c>
      <c r="B41" t="s">
        <v>278</v>
      </c>
      <c r="C41" s="19" t="s">
        <v>214</v>
      </c>
      <c r="D41" s="19">
        <v>1</v>
      </c>
      <c r="E41">
        <f t="shared" si="26"/>
        <v>168</v>
      </c>
      <c r="F41">
        <f t="shared" si="27"/>
        <v>1000.296</v>
      </c>
    </row>
    <row r="42" spans="1:6">
      <c r="A42" t="s">
        <v>130</v>
      </c>
      <c r="B42" t="s">
        <v>278</v>
      </c>
      <c r="C42" s="19" t="s">
        <v>214</v>
      </c>
      <c r="D42" s="19">
        <v>1</v>
      </c>
      <c r="E42">
        <f t="shared" si="26"/>
        <v>100</v>
      </c>
      <c r="F42">
        <f t="shared" si="27"/>
        <v>999.69</v>
      </c>
    </row>
    <row r="43" spans="1:6">
      <c r="A43" t="s">
        <v>131</v>
      </c>
      <c r="B43" t="s">
        <v>278</v>
      </c>
      <c r="C43" s="19" t="s">
        <v>214</v>
      </c>
      <c r="D43" s="19">
        <v>1</v>
      </c>
      <c r="E43">
        <f t="shared" si="26"/>
        <v>16.5</v>
      </c>
      <c r="F43">
        <f t="shared" si="27"/>
        <v>1000.181</v>
      </c>
    </row>
    <row r="44" spans="1:6">
      <c r="A44" t="s">
        <v>132</v>
      </c>
      <c r="B44" t="s">
        <v>278</v>
      </c>
      <c r="C44" s="19" t="s">
        <v>214</v>
      </c>
      <c r="D44" s="19">
        <v>1</v>
      </c>
      <c r="E44">
        <f t="shared" si="26"/>
        <v>22.6</v>
      </c>
      <c r="F44">
        <f t="shared" si="27"/>
        <v>1000.173</v>
      </c>
    </row>
    <row r="45" spans="1:6">
      <c r="A45" t="s">
        <v>133</v>
      </c>
      <c r="B45" t="s">
        <v>278</v>
      </c>
      <c r="C45" s="19" t="s">
        <v>214</v>
      </c>
      <c r="D45" s="19">
        <v>1</v>
      </c>
      <c r="E45">
        <f t="shared" si="26"/>
        <v>127.3</v>
      </c>
      <c r="F45">
        <f t="shared" si="27"/>
        <v>1000.165</v>
      </c>
    </row>
    <row r="46" spans="1:6">
      <c r="A46" t="s">
        <v>134</v>
      </c>
      <c r="B46" t="s">
        <v>278</v>
      </c>
      <c r="C46" s="19" t="s">
        <v>214</v>
      </c>
      <c r="D46" s="19">
        <v>1</v>
      </c>
      <c r="E46">
        <f t="shared" si="26"/>
        <v>33.6</v>
      </c>
      <c r="F46">
        <f t="shared" si="27"/>
        <v>1000.157</v>
      </c>
    </row>
    <row r="47" spans="1:6">
      <c r="A47" t="s">
        <v>135</v>
      </c>
      <c r="B47" t="s">
        <v>278</v>
      </c>
      <c r="C47" s="19" t="s">
        <v>214</v>
      </c>
      <c r="D47" s="19">
        <v>1</v>
      </c>
      <c r="E47">
        <f t="shared" si="26"/>
        <v>439.2</v>
      </c>
      <c r="F47">
        <f t="shared" si="27"/>
        <v>1000.165</v>
      </c>
    </row>
    <row r="48" spans="1:6">
      <c r="A48" s="17" t="s">
        <v>323</v>
      </c>
      <c r="C48" s="19"/>
      <c r="D48" s="19"/>
    </row>
    <row r="49" spans="1:6">
      <c r="A49" t="s">
        <v>111</v>
      </c>
      <c r="B49" t="s">
        <v>277</v>
      </c>
      <c r="C49" s="19" t="s">
        <v>214</v>
      </c>
      <c r="D49" s="19">
        <v>1</v>
      </c>
      <c r="E49">
        <f>T6</f>
        <v>200</v>
      </c>
      <c r="F49">
        <f>$Z$28 + V6</f>
        <v>2000.1279999999999</v>
      </c>
    </row>
    <row r="50" spans="1:6">
      <c r="A50" t="s">
        <v>114</v>
      </c>
      <c r="B50" t="s">
        <v>277</v>
      </c>
      <c r="C50" s="19" t="s">
        <v>214</v>
      </c>
      <c r="D50" s="19">
        <v>1</v>
      </c>
      <c r="E50">
        <f t="shared" ref="E50:E70" si="30">T7</f>
        <v>500</v>
      </c>
      <c r="F50">
        <f t="shared" ref="F50:F70" si="31">$Z$28 + V7</f>
        <v>2000.1210000000001</v>
      </c>
    </row>
    <row r="51" spans="1:6">
      <c r="A51" t="s">
        <v>116</v>
      </c>
      <c r="B51" t="s">
        <v>277</v>
      </c>
      <c r="C51" s="19" t="s">
        <v>214</v>
      </c>
      <c r="D51" s="19">
        <v>1</v>
      </c>
      <c r="E51">
        <f t="shared" si="30"/>
        <v>127.9</v>
      </c>
      <c r="F51">
        <f t="shared" si="31"/>
        <v>2000.4559999999999</v>
      </c>
    </row>
    <row r="52" spans="1:6">
      <c r="A52" t="s">
        <v>117</v>
      </c>
      <c r="B52" t="s">
        <v>277</v>
      </c>
      <c r="C52" s="19" t="s">
        <v>214</v>
      </c>
      <c r="D52" s="19">
        <v>1</v>
      </c>
      <c r="E52">
        <f t="shared" si="30"/>
        <v>2400</v>
      </c>
      <c r="F52">
        <f t="shared" si="31"/>
        <v>2000.1079999999999</v>
      </c>
    </row>
    <row r="53" spans="1:6">
      <c r="A53" t="s">
        <v>118</v>
      </c>
      <c r="B53" t="s">
        <v>277</v>
      </c>
      <c r="C53" s="19" t="s">
        <v>214</v>
      </c>
      <c r="D53" s="19">
        <v>1</v>
      </c>
      <c r="E53">
        <f t="shared" si="30"/>
        <v>37.9</v>
      </c>
      <c r="F53">
        <f t="shared" si="31"/>
        <v>2000.25</v>
      </c>
    </row>
    <row r="54" spans="1:6">
      <c r="A54" t="s">
        <v>119</v>
      </c>
      <c r="B54" t="s">
        <v>277</v>
      </c>
      <c r="C54" s="19" t="s">
        <v>214</v>
      </c>
      <c r="D54" s="19">
        <v>1</v>
      </c>
      <c r="E54">
        <f t="shared" si="30"/>
        <v>62.1</v>
      </c>
      <c r="F54">
        <f t="shared" si="31"/>
        <v>2000.2380000000001</v>
      </c>
    </row>
    <row r="55" spans="1:6">
      <c r="A55" t="s">
        <v>120</v>
      </c>
      <c r="B55" t="s">
        <v>277</v>
      </c>
      <c r="C55" s="19" t="s">
        <v>214</v>
      </c>
      <c r="D55" s="19">
        <v>1</v>
      </c>
      <c r="E55">
        <f t="shared" si="30"/>
        <v>25.5</v>
      </c>
      <c r="F55">
        <f t="shared" si="31"/>
        <v>1999.796</v>
      </c>
    </row>
    <row r="56" spans="1:6">
      <c r="A56" t="s">
        <v>121</v>
      </c>
      <c r="B56" t="s">
        <v>277</v>
      </c>
      <c r="C56" s="19" t="s">
        <v>214</v>
      </c>
      <c r="D56" s="19">
        <v>1</v>
      </c>
      <c r="E56">
        <f t="shared" si="30"/>
        <v>525.20000000000005</v>
      </c>
      <c r="F56">
        <f t="shared" si="31"/>
        <v>1999.9169999999999</v>
      </c>
    </row>
    <row r="57" spans="1:6">
      <c r="A57" t="s">
        <v>122</v>
      </c>
      <c r="B57" t="s">
        <v>277</v>
      </c>
      <c r="C57" s="19" t="s">
        <v>214</v>
      </c>
      <c r="D57" s="19">
        <v>1</v>
      </c>
      <c r="E57">
        <f t="shared" si="30"/>
        <v>100</v>
      </c>
      <c r="F57">
        <f t="shared" si="31"/>
        <v>2000.1079999999999</v>
      </c>
    </row>
    <row r="58" spans="1:6">
      <c r="A58" t="s">
        <v>123</v>
      </c>
      <c r="B58" t="s">
        <v>277</v>
      </c>
      <c r="C58" s="19" t="s">
        <v>214</v>
      </c>
      <c r="D58" s="19">
        <v>1</v>
      </c>
      <c r="E58">
        <f t="shared" si="30"/>
        <v>50</v>
      </c>
      <c r="F58">
        <f t="shared" si="31"/>
        <v>2000.0540000000001</v>
      </c>
    </row>
    <row r="59" spans="1:6">
      <c r="A59" t="s">
        <v>124</v>
      </c>
      <c r="B59" t="s">
        <v>277</v>
      </c>
      <c r="C59" s="19" t="s">
        <v>214</v>
      </c>
      <c r="D59" s="19">
        <v>1</v>
      </c>
      <c r="E59">
        <f t="shared" si="30"/>
        <v>35.9</v>
      </c>
      <c r="F59">
        <f t="shared" si="31"/>
        <v>1999.7670000000001</v>
      </c>
    </row>
    <row r="60" spans="1:6">
      <c r="A60" t="s">
        <v>125</v>
      </c>
      <c r="B60" t="s">
        <v>277</v>
      </c>
      <c r="C60" s="19" t="s">
        <v>214</v>
      </c>
      <c r="D60" s="19">
        <v>1</v>
      </c>
      <c r="E60">
        <f t="shared" si="30"/>
        <v>18.600000000000001</v>
      </c>
      <c r="F60">
        <f t="shared" si="31"/>
        <v>1999.701</v>
      </c>
    </row>
    <row r="61" spans="1:6">
      <c r="A61" t="s">
        <v>126</v>
      </c>
      <c r="B61" t="s">
        <v>277</v>
      </c>
      <c r="C61" s="19" t="s">
        <v>214</v>
      </c>
      <c r="D61" s="19">
        <v>1</v>
      </c>
      <c r="E61">
        <f t="shared" si="30"/>
        <v>300</v>
      </c>
      <c r="F61">
        <f t="shared" si="31"/>
        <v>2000.18</v>
      </c>
    </row>
    <row r="62" spans="1:6">
      <c r="A62" t="s">
        <v>127</v>
      </c>
      <c r="B62" t="s">
        <v>277</v>
      </c>
      <c r="C62" s="19" t="s">
        <v>214</v>
      </c>
      <c r="D62" s="19">
        <v>1</v>
      </c>
      <c r="E62">
        <f t="shared" si="30"/>
        <v>188</v>
      </c>
      <c r="F62">
        <f t="shared" si="31"/>
        <v>2000.31</v>
      </c>
    </row>
    <row r="63" spans="1:6">
      <c r="A63" t="s">
        <v>128</v>
      </c>
      <c r="B63" t="s">
        <v>277</v>
      </c>
      <c r="C63" s="19" t="s">
        <v>214</v>
      </c>
      <c r="D63" s="19">
        <v>1</v>
      </c>
      <c r="E63">
        <f t="shared" si="30"/>
        <v>131</v>
      </c>
      <c r="F63">
        <f t="shared" si="31"/>
        <v>2000.325</v>
      </c>
    </row>
    <row r="64" spans="1:6">
      <c r="A64" t="s">
        <v>129</v>
      </c>
      <c r="B64" t="s">
        <v>277</v>
      </c>
      <c r="C64" s="19" t="s">
        <v>214</v>
      </c>
      <c r="D64" s="19">
        <v>1</v>
      </c>
      <c r="E64">
        <f t="shared" si="30"/>
        <v>223.6</v>
      </c>
      <c r="F64">
        <f t="shared" si="31"/>
        <v>2000.296</v>
      </c>
    </row>
    <row r="65" spans="1:6">
      <c r="A65" t="s">
        <v>130</v>
      </c>
      <c r="B65" t="s">
        <v>277</v>
      </c>
      <c r="C65" s="19" t="s">
        <v>214</v>
      </c>
      <c r="D65" s="19">
        <v>1</v>
      </c>
      <c r="E65">
        <f t="shared" si="30"/>
        <v>100</v>
      </c>
      <c r="F65">
        <f t="shared" si="31"/>
        <v>1999.69</v>
      </c>
    </row>
    <row r="66" spans="1:6">
      <c r="A66" t="s">
        <v>131</v>
      </c>
      <c r="B66" t="s">
        <v>277</v>
      </c>
      <c r="C66" s="19" t="s">
        <v>214</v>
      </c>
      <c r="D66" s="19">
        <v>1</v>
      </c>
      <c r="E66">
        <f t="shared" si="30"/>
        <v>16.5</v>
      </c>
      <c r="F66">
        <f t="shared" si="31"/>
        <v>2000.181</v>
      </c>
    </row>
    <row r="67" spans="1:6">
      <c r="A67" t="s">
        <v>132</v>
      </c>
      <c r="B67" t="s">
        <v>277</v>
      </c>
      <c r="C67" s="19" t="s">
        <v>214</v>
      </c>
      <c r="D67" s="19">
        <v>1</v>
      </c>
      <c r="E67">
        <f t="shared" si="30"/>
        <v>22.6</v>
      </c>
      <c r="F67">
        <f t="shared" si="31"/>
        <v>2000.173</v>
      </c>
    </row>
    <row r="68" spans="1:6">
      <c r="A68" t="s">
        <v>133</v>
      </c>
      <c r="B68" t="s">
        <v>277</v>
      </c>
      <c r="C68" s="19" t="s">
        <v>214</v>
      </c>
      <c r="D68" s="19">
        <v>1</v>
      </c>
      <c r="E68">
        <f t="shared" si="30"/>
        <v>127.3</v>
      </c>
      <c r="F68">
        <f t="shared" si="31"/>
        <v>2000.165</v>
      </c>
    </row>
    <row r="69" spans="1:6">
      <c r="A69" t="s">
        <v>134</v>
      </c>
      <c r="B69" t="s">
        <v>277</v>
      </c>
      <c r="C69" s="19" t="s">
        <v>214</v>
      </c>
      <c r="D69" s="19">
        <v>1</v>
      </c>
      <c r="E69">
        <f t="shared" si="30"/>
        <v>33.6</v>
      </c>
      <c r="F69">
        <f t="shared" si="31"/>
        <v>2000.1569999999999</v>
      </c>
    </row>
    <row r="70" spans="1:6">
      <c r="A70" t="s">
        <v>135</v>
      </c>
      <c r="B70" t="s">
        <v>277</v>
      </c>
      <c r="C70" s="19" t="s">
        <v>214</v>
      </c>
      <c r="D70" s="19">
        <v>1</v>
      </c>
      <c r="E70">
        <f t="shared" si="30"/>
        <v>584.4</v>
      </c>
      <c r="F70">
        <f t="shared" si="31"/>
        <v>2000.165</v>
      </c>
    </row>
  </sheetData>
  <sortState xmlns:xlrd2="http://schemas.microsoft.com/office/spreadsheetml/2017/richdata2" ref="AD6:AG27">
    <sortCondition ref="AF6:AF27"/>
  </sortState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Q93"/>
  <sheetViews>
    <sheetView workbookViewId="0">
      <selection activeCell="P2" sqref="P2"/>
    </sheetView>
  </sheetViews>
  <sheetFormatPr defaultRowHeight="15"/>
  <cols>
    <col min="1" max="1" width="9" style="87" bestFit="1" customWidth="1"/>
    <col min="2" max="2" width="17.7109375" style="87" bestFit="1" customWidth="1"/>
    <col min="3" max="3" width="15.140625" style="87" bestFit="1" customWidth="1"/>
    <col min="4" max="4" width="13" bestFit="1" customWidth="1"/>
    <col min="5" max="5" width="9.5703125" bestFit="1" customWidth="1"/>
    <col min="6" max="6" width="15.85546875" style="19" bestFit="1" customWidth="1"/>
    <col min="7" max="7" width="21.42578125" style="19" bestFit="1" customWidth="1"/>
    <col min="8" max="8" width="16.28515625" style="19" bestFit="1" customWidth="1"/>
  </cols>
  <sheetData>
    <row r="1" spans="1:17">
      <c r="A1" s="86" t="s">
        <v>264</v>
      </c>
      <c r="B1" s="86" t="s">
        <v>273</v>
      </c>
      <c r="C1" s="86" t="s">
        <v>274</v>
      </c>
      <c r="D1" s="66" t="s">
        <v>137</v>
      </c>
      <c r="E1" s="66" t="s">
        <v>211</v>
      </c>
      <c r="F1" s="66" t="s">
        <v>275</v>
      </c>
      <c r="G1" s="66" t="s">
        <v>265</v>
      </c>
      <c r="H1" s="66" t="s">
        <v>266</v>
      </c>
      <c r="M1" t="s">
        <v>325</v>
      </c>
      <c r="P1" t="s">
        <v>363</v>
      </c>
      <c r="Q1" t="s">
        <v>364</v>
      </c>
    </row>
    <row r="2" spans="1:17">
      <c r="A2" s="87" t="s">
        <v>229</v>
      </c>
      <c r="B2" s="87" t="s">
        <v>111</v>
      </c>
      <c r="C2" s="87" t="s">
        <v>116</v>
      </c>
      <c r="D2" s="19" t="s">
        <v>214</v>
      </c>
      <c r="E2" s="19">
        <v>1</v>
      </c>
      <c r="F2" s="19">
        <v>1200</v>
      </c>
      <c r="G2" s="19">
        <f>M2</f>
        <v>1.64</v>
      </c>
      <c r="H2" s="19">
        <v>0.01</v>
      </c>
      <c r="M2">
        <f>ROUND(P2*Q2, 2)</f>
        <v>1.64</v>
      </c>
      <c r="P2">
        <f>(1+ VLOOKUP($B2,'vomcost mult'!$N$10:$R$32,5, FALSE))</f>
        <v>1.1280000000000001</v>
      </c>
      <c r="Q2">
        <f>(1+ VLOOKUP($C2,'vomcost mult'!$N$10:$R$32,5, FALSE))</f>
        <v>1.456</v>
      </c>
    </row>
    <row r="3" spans="1:17">
      <c r="A3" s="87" t="s">
        <v>229</v>
      </c>
      <c r="B3" s="87" t="s">
        <v>116</v>
      </c>
      <c r="C3" s="87" t="s">
        <v>111</v>
      </c>
      <c r="D3" s="19" t="s">
        <v>214</v>
      </c>
      <c r="E3" s="19">
        <v>1</v>
      </c>
      <c r="F3" s="19">
        <v>1200</v>
      </c>
      <c r="G3" s="19">
        <f t="shared" ref="G3:G66" si="0">M3</f>
        <v>1.64</v>
      </c>
      <c r="H3" s="19">
        <v>0.01</v>
      </c>
      <c r="M3">
        <f t="shared" ref="M3:M66" si="1">ROUND(P3*Q3, 2)</f>
        <v>1.64</v>
      </c>
      <c r="P3">
        <f>(1+ VLOOKUP($B3,'vomcost mult'!$N$10:$R$32,5, FALSE))</f>
        <v>1.456</v>
      </c>
      <c r="Q3">
        <f>(1+ VLOOKUP($C3,'vomcost mult'!$N$10:$R$32,5, FALSE))</f>
        <v>1.1280000000000001</v>
      </c>
    </row>
    <row r="4" spans="1:17">
      <c r="A4" s="87" t="s">
        <v>229</v>
      </c>
      <c r="B4" s="87" t="s">
        <v>111</v>
      </c>
      <c r="C4" s="87" t="s">
        <v>117</v>
      </c>
      <c r="D4" s="19" t="s">
        <v>214</v>
      </c>
      <c r="E4" s="19">
        <v>1</v>
      </c>
      <c r="F4" s="19">
        <v>7500</v>
      </c>
      <c r="G4" s="19">
        <f t="shared" si="0"/>
        <v>1.25</v>
      </c>
      <c r="H4" s="19">
        <v>0.01</v>
      </c>
      <c r="M4">
        <f t="shared" si="1"/>
        <v>1.25</v>
      </c>
      <c r="P4">
        <f>(1+ VLOOKUP($B4,'vomcost mult'!$N$10:$R$32,5, FALSE))</f>
        <v>1.1280000000000001</v>
      </c>
      <c r="Q4">
        <f>(1+ VLOOKUP($C4,'vomcost mult'!$N$10:$R$32,5, FALSE))</f>
        <v>1.1080000000000001</v>
      </c>
    </row>
    <row r="5" spans="1:17">
      <c r="A5" s="87" t="s">
        <v>229</v>
      </c>
      <c r="B5" s="87" t="s">
        <v>117</v>
      </c>
      <c r="C5" s="87" t="s">
        <v>111</v>
      </c>
      <c r="D5" s="19" t="s">
        <v>214</v>
      </c>
      <c r="E5" s="19">
        <v>1</v>
      </c>
      <c r="F5" s="19">
        <v>7500</v>
      </c>
      <c r="G5" s="19">
        <f t="shared" si="0"/>
        <v>1.25</v>
      </c>
      <c r="H5" s="19">
        <v>0.01</v>
      </c>
      <c r="M5">
        <f t="shared" si="1"/>
        <v>1.25</v>
      </c>
      <c r="P5">
        <f>(1+ VLOOKUP($B5,'vomcost mult'!$N$10:$R$32,5, FALSE))</f>
        <v>1.1080000000000001</v>
      </c>
      <c r="Q5">
        <f>(1+ VLOOKUP($C5,'vomcost mult'!$N$10:$R$32,5, FALSE))</f>
        <v>1.1280000000000001</v>
      </c>
    </row>
    <row r="6" spans="1:17">
      <c r="A6" s="87" t="s">
        <v>229</v>
      </c>
      <c r="B6" s="87" t="s">
        <v>114</v>
      </c>
      <c r="C6" s="87" t="s">
        <v>117</v>
      </c>
      <c r="D6" s="19" t="s">
        <v>214</v>
      </c>
      <c r="E6" s="19">
        <v>1</v>
      </c>
      <c r="F6" s="19">
        <v>1000</v>
      </c>
      <c r="G6" s="19">
        <f t="shared" si="0"/>
        <v>1.24</v>
      </c>
      <c r="H6" s="19">
        <v>0.01</v>
      </c>
      <c r="M6">
        <f t="shared" si="1"/>
        <v>1.24</v>
      </c>
      <c r="P6">
        <f>(1+ VLOOKUP($B6,'vomcost mult'!$N$10:$R$32,5, FALSE))</f>
        <v>1.121</v>
      </c>
      <c r="Q6">
        <f>(1+ VLOOKUP($C6,'vomcost mult'!$N$10:$R$32,5, FALSE))</f>
        <v>1.1080000000000001</v>
      </c>
    </row>
    <row r="7" spans="1:17">
      <c r="A7" s="87" t="s">
        <v>229</v>
      </c>
      <c r="B7" s="87" t="s">
        <v>117</v>
      </c>
      <c r="C7" s="87" t="s">
        <v>114</v>
      </c>
      <c r="D7" s="19" t="s">
        <v>214</v>
      </c>
      <c r="E7" s="19">
        <v>1</v>
      </c>
      <c r="F7" s="19">
        <v>1000</v>
      </c>
      <c r="G7" s="19">
        <f t="shared" si="0"/>
        <v>1.24</v>
      </c>
      <c r="H7" s="19">
        <v>0.01</v>
      </c>
      <c r="M7">
        <f t="shared" si="1"/>
        <v>1.24</v>
      </c>
      <c r="P7">
        <f>(1+ VLOOKUP($B7,'vomcost mult'!$N$10:$R$32,5, FALSE))</f>
        <v>1.1080000000000001</v>
      </c>
      <c r="Q7">
        <f>(1+ VLOOKUP($C7,'vomcost mult'!$N$10:$R$32,5, FALSE))</f>
        <v>1.121</v>
      </c>
    </row>
    <row r="8" spans="1:17">
      <c r="A8" s="87" t="s">
        <v>229</v>
      </c>
      <c r="B8" s="87" t="s">
        <v>114</v>
      </c>
      <c r="C8" s="87" t="s">
        <v>123</v>
      </c>
      <c r="D8" s="19" t="s">
        <v>214</v>
      </c>
      <c r="E8" s="19">
        <v>1</v>
      </c>
      <c r="F8" s="19">
        <v>2800</v>
      </c>
      <c r="G8" s="19">
        <f t="shared" si="0"/>
        <v>1.18</v>
      </c>
      <c r="H8" s="19">
        <v>0.01</v>
      </c>
      <c r="M8">
        <f t="shared" si="1"/>
        <v>1.18</v>
      </c>
      <c r="P8">
        <f>(1+ VLOOKUP($B8,'vomcost mult'!$N$10:$R$32,5, FALSE))</f>
        <v>1.121</v>
      </c>
      <c r="Q8">
        <f>(1+ VLOOKUP($C8,'vomcost mult'!$N$10:$R$32,5, FALSE))</f>
        <v>1.054</v>
      </c>
    </row>
    <row r="9" spans="1:17">
      <c r="A9" s="87" t="s">
        <v>229</v>
      </c>
      <c r="B9" s="87" t="s">
        <v>123</v>
      </c>
      <c r="C9" s="87" t="s">
        <v>114</v>
      </c>
      <c r="D9" s="19" t="s">
        <v>214</v>
      </c>
      <c r="E9" s="19">
        <v>1</v>
      </c>
      <c r="F9" s="19">
        <v>4300</v>
      </c>
      <c r="G9" s="19">
        <f t="shared" si="0"/>
        <v>1.18</v>
      </c>
      <c r="H9" s="19">
        <v>0.01</v>
      </c>
      <c r="M9">
        <f t="shared" si="1"/>
        <v>1.18</v>
      </c>
      <c r="P9">
        <f>(1+ VLOOKUP($B9,'vomcost mult'!$N$10:$R$32,5, FALSE))</f>
        <v>1.054</v>
      </c>
      <c r="Q9">
        <f>(1+ VLOOKUP($C9,'vomcost mult'!$N$10:$R$32,5, FALSE))</f>
        <v>1.121</v>
      </c>
    </row>
    <row r="10" spans="1:17">
      <c r="A10" s="87" t="s">
        <v>229</v>
      </c>
      <c r="B10" s="87" t="s">
        <v>114</v>
      </c>
      <c r="C10" s="87" t="s">
        <v>126</v>
      </c>
      <c r="D10" s="19" t="s">
        <v>214</v>
      </c>
      <c r="E10" s="19">
        <v>1</v>
      </c>
      <c r="F10" s="19">
        <v>3400</v>
      </c>
      <c r="G10" s="19">
        <f t="shared" si="0"/>
        <v>1.32</v>
      </c>
      <c r="H10" s="19">
        <v>0.01</v>
      </c>
      <c r="M10">
        <f t="shared" si="1"/>
        <v>1.32</v>
      </c>
      <c r="P10">
        <f>(1+ VLOOKUP($B10,'vomcost mult'!$N$10:$R$32,5, FALSE))</f>
        <v>1.121</v>
      </c>
      <c r="Q10">
        <f>(1+ VLOOKUP($C10,'vomcost mult'!$N$10:$R$32,5, FALSE))</f>
        <v>1.18</v>
      </c>
    </row>
    <row r="11" spans="1:17">
      <c r="A11" s="87" t="s">
        <v>229</v>
      </c>
      <c r="B11" s="87" t="s">
        <v>126</v>
      </c>
      <c r="C11" s="87" t="s">
        <v>114</v>
      </c>
      <c r="D11" s="19" t="s">
        <v>214</v>
      </c>
      <c r="E11" s="19">
        <v>1</v>
      </c>
      <c r="F11" s="19">
        <v>3400</v>
      </c>
      <c r="G11" s="19">
        <f t="shared" si="0"/>
        <v>1.32</v>
      </c>
      <c r="H11" s="19">
        <v>0.01</v>
      </c>
      <c r="M11">
        <f t="shared" si="1"/>
        <v>1.32</v>
      </c>
      <c r="P11">
        <f>(1+ VLOOKUP($B11,'vomcost mult'!$N$10:$R$32,5, FALSE))</f>
        <v>1.18</v>
      </c>
      <c r="Q11">
        <f>(1+ VLOOKUP($C11,'vomcost mult'!$N$10:$R$32,5, FALSE))</f>
        <v>1.121</v>
      </c>
    </row>
    <row r="12" spans="1:17">
      <c r="A12" s="87" t="s">
        <v>229</v>
      </c>
      <c r="B12" s="87" t="s">
        <v>114</v>
      </c>
      <c r="C12" s="87" t="s">
        <v>135</v>
      </c>
      <c r="D12" s="19" t="s">
        <v>214</v>
      </c>
      <c r="E12" s="19">
        <v>1</v>
      </c>
      <c r="F12" s="19">
        <v>2400</v>
      </c>
      <c r="G12" s="19">
        <f t="shared" si="0"/>
        <v>1.31</v>
      </c>
      <c r="H12" s="19">
        <v>0.01</v>
      </c>
      <c r="M12">
        <f t="shared" si="1"/>
        <v>1.31</v>
      </c>
      <c r="P12">
        <f>(1+ VLOOKUP($B12,'vomcost mult'!$N$10:$R$32,5, FALSE))</f>
        <v>1.121</v>
      </c>
      <c r="Q12">
        <f>(1+ VLOOKUP($C12,'vomcost mult'!$N$10:$R$32,5, FALSE))</f>
        <v>1.165</v>
      </c>
    </row>
    <row r="13" spans="1:17">
      <c r="A13" s="87" t="s">
        <v>229</v>
      </c>
      <c r="B13" s="87" t="s">
        <v>135</v>
      </c>
      <c r="C13" s="87" t="s">
        <v>114</v>
      </c>
      <c r="D13" s="19" t="s">
        <v>214</v>
      </c>
      <c r="E13" s="19">
        <v>1</v>
      </c>
      <c r="F13" s="19">
        <v>2400</v>
      </c>
      <c r="G13" s="19">
        <f t="shared" si="0"/>
        <v>1.31</v>
      </c>
      <c r="H13" s="19">
        <v>0.01</v>
      </c>
      <c r="M13">
        <f t="shared" si="1"/>
        <v>1.31</v>
      </c>
      <c r="P13">
        <f>(1+ VLOOKUP($B13,'vomcost mult'!$N$10:$R$32,5, FALSE))</f>
        <v>1.165</v>
      </c>
      <c r="Q13">
        <f>(1+ VLOOKUP($C13,'vomcost mult'!$N$10:$R$32,5, FALSE))</f>
        <v>1.121</v>
      </c>
    </row>
    <row r="14" spans="1:17">
      <c r="A14" s="87" t="s">
        <v>229</v>
      </c>
      <c r="B14" s="87" t="s">
        <v>116</v>
      </c>
      <c r="C14" s="87" t="s">
        <v>117</v>
      </c>
      <c r="D14" s="19" t="s">
        <v>214</v>
      </c>
      <c r="E14" s="19">
        <v>1</v>
      </c>
      <c r="F14" s="19">
        <v>4200</v>
      </c>
      <c r="G14" s="19">
        <f t="shared" si="0"/>
        <v>1.61</v>
      </c>
      <c r="H14" s="19">
        <v>0.01</v>
      </c>
      <c r="M14">
        <f t="shared" si="1"/>
        <v>1.61</v>
      </c>
      <c r="P14">
        <f>(1+ VLOOKUP($B14,'vomcost mult'!$N$10:$R$32,5, FALSE))</f>
        <v>1.456</v>
      </c>
      <c r="Q14">
        <f>(1+ VLOOKUP($C14,'vomcost mult'!$N$10:$R$32,5, FALSE))</f>
        <v>1.1080000000000001</v>
      </c>
    </row>
    <row r="15" spans="1:17">
      <c r="A15" s="87" t="s">
        <v>229</v>
      </c>
      <c r="B15" s="87" t="s">
        <v>117</v>
      </c>
      <c r="C15" s="87" t="s">
        <v>116</v>
      </c>
      <c r="D15" s="19" t="s">
        <v>214</v>
      </c>
      <c r="E15" s="19">
        <v>1</v>
      </c>
      <c r="F15" s="19">
        <v>4400</v>
      </c>
      <c r="G15" s="19">
        <f t="shared" si="0"/>
        <v>1.61</v>
      </c>
      <c r="H15" s="19">
        <v>0.01</v>
      </c>
      <c r="M15">
        <f t="shared" si="1"/>
        <v>1.61</v>
      </c>
      <c r="P15">
        <f>(1+ VLOOKUP($B15,'vomcost mult'!$N$10:$R$32,5, FALSE))</f>
        <v>1.1080000000000001</v>
      </c>
      <c r="Q15">
        <f>(1+ VLOOKUP($C15,'vomcost mult'!$N$10:$R$32,5, FALSE))</f>
        <v>1.456</v>
      </c>
    </row>
    <row r="16" spans="1:17">
      <c r="A16" s="87" t="s">
        <v>229</v>
      </c>
      <c r="B16" s="87" t="s">
        <v>116</v>
      </c>
      <c r="C16" s="87" t="s">
        <v>123</v>
      </c>
      <c r="D16" s="19" t="s">
        <v>214</v>
      </c>
      <c r="E16" s="19">
        <v>1</v>
      </c>
      <c r="F16" s="19">
        <v>2200</v>
      </c>
      <c r="G16" s="19">
        <f t="shared" si="0"/>
        <v>1.53</v>
      </c>
      <c r="H16" s="19">
        <v>0.01</v>
      </c>
      <c r="M16">
        <f t="shared" si="1"/>
        <v>1.53</v>
      </c>
      <c r="P16">
        <f>(1+ VLOOKUP($B16,'vomcost mult'!$N$10:$R$32,5, FALSE))</f>
        <v>1.456</v>
      </c>
      <c r="Q16">
        <f>(1+ VLOOKUP($C16,'vomcost mult'!$N$10:$R$32,5, FALSE))</f>
        <v>1.054</v>
      </c>
    </row>
    <row r="17" spans="1:17">
      <c r="A17" s="87" t="s">
        <v>229</v>
      </c>
      <c r="B17" s="87" t="s">
        <v>123</v>
      </c>
      <c r="C17" s="87" t="s">
        <v>116</v>
      </c>
      <c r="D17" s="19" t="s">
        <v>214</v>
      </c>
      <c r="E17" s="19">
        <v>1</v>
      </c>
      <c r="F17" s="19">
        <v>4500</v>
      </c>
      <c r="G17" s="19">
        <f t="shared" si="0"/>
        <v>1.53</v>
      </c>
      <c r="H17" s="19">
        <v>0.01</v>
      </c>
      <c r="M17">
        <f t="shared" si="1"/>
        <v>1.53</v>
      </c>
      <c r="P17">
        <f>(1+ VLOOKUP($B17,'vomcost mult'!$N$10:$R$32,5, FALSE))</f>
        <v>1.054</v>
      </c>
      <c r="Q17">
        <f>(1+ VLOOKUP($C17,'vomcost mult'!$N$10:$R$32,5, FALSE))</f>
        <v>1.456</v>
      </c>
    </row>
    <row r="18" spans="1:17">
      <c r="A18" s="87" t="s">
        <v>229</v>
      </c>
      <c r="B18" s="87" t="s">
        <v>117</v>
      </c>
      <c r="C18" s="87" t="s">
        <v>118</v>
      </c>
      <c r="D18" s="19" t="s">
        <v>214</v>
      </c>
      <c r="E18" s="19">
        <v>1</v>
      </c>
      <c r="F18" s="19">
        <v>2200</v>
      </c>
      <c r="G18" s="19">
        <f t="shared" si="0"/>
        <v>1.39</v>
      </c>
      <c r="H18" s="19">
        <v>0.01</v>
      </c>
      <c r="M18">
        <f t="shared" si="1"/>
        <v>1.39</v>
      </c>
      <c r="P18">
        <f>(1+ VLOOKUP($B18,'vomcost mult'!$N$10:$R$32,5, FALSE))</f>
        <v>1.1080000000000001</v>
      </c>
      <c r="Q18">
        <f>(1+ VLOOKUP($C18,'vomcost mult'!$N$10:$R$32,5, FALSE))</f>
        <v>1.25</v>
      </c>
    </row>
    <row r="19" spans="1:17">
      <c r="A19" s="87" t="s">
        <v>229</v>
      </c>
      <c r="B19" s="87" t="s">
        <v>118</v>
      </c>
      <c r="C19" s="87" t="s">
        <v>117</v>
      </c>
      <c r="D19" s="19" t="s">
        <v>214</v>
      </c>
      <c r="E19" s="19">
        <v>1</v>
      </c>
      <c r="F19" s="19">
        <v>3000</v>
      </c>
      <c r="G19" s="19">
        <f t="shared" si="0"/>
        <v>1.39</v>
      </c>
      <c r="H19" s="19">
        <v>0.01</v>
      </c>
      <c r="M19">
        <f t="shared" si="1"/>
        <v>1.39</v>
      </c>
      <c r="P19">
        <f>(1+ VLOOKUP($B19,'vomcost mult'!$N$10:$R$32,5, FALSE))</f>
        <v>1.25</v>
      </c>
      <c r="Q19">
        <f>(1+ VLOOKUP($C19,'vomcost mult'!$N$10:$R$32,5, FALSE))</f>
        <v>1.1080000000000001</v>
      </c>
    </row>
    <row r="20" spans="1:17">
      <c r="A20" s="87" t="s">
        <v>229</v>
      </c>
      <c r="B20" s="87" t="s">
        <v>117</v>
      </c>
      <c r="C20" s="87" t="s">
        <v>119</v>
      </c>
      <c r="D20" s="19" t="s">
        <v>214</v>
      </c>
      <c r="E20" s="19">
        <v>1</v>
      </c>
      <c r="F20" s="19">
        <v>3500</v>
      </c>
      <c r="G20" s="19">
        <f t="shared" si="0"/>
        <v>1.37</v>
      </c>
      <c r="H20" s="19">
        <v>0.01</v>
      </c>
      <c r="M20">
        <f t="shared" si="1"/>
        <v>1.37</v>
      </c>
      <c r="P20">
        <f>(1+ VLOOKUP($B20,'vomcost mult'!$N$10:$R$32,5, FALSE))</f>
        <v>1.1080000000000001</v>
      </c>
      <c r="Q20">
        <f>(1+ VLOOKUP($C20,'vomcost mult'!$N$10:$R$32,5, FALSE))</f>
        <v>1.238</v>
      </c>
    </row>
    <row r="21" spans="1:17">
      <c r="A21" s="87" t="s">
        <v>229</v>
      </c>
      <c r="B21" s="87" t="s">
        <v>119</v>
      </c>
      <c r="C21" s="87" t="s">
        <v>117</v>
      </c>
      <c r="D21" s="19" t="s">
        <v>214</v>
      </c>
      <c r="E21" s="19">
        <v>1</v>
      </c>
      <c r="F21" s="19">
        <v>3500</v>
      </c>
      <c r="G21" s="19">
        <f t="shared" si="0"/>
        <v>1.37</v>
      </c>
      <c r="H21" s="19">
        <v>0.01</v>
      </c>
      <c r="M21">
        <f t="shared" si="1"/>
        <v>1.37</v>
      </c>
      <c r="P21">
        <f>(1+ VLOOKUP($B21,'vomcost mult'!$N$10:$R$32,5, FALSE))</f>
        <v>1.238</v>
      </c>
      <c r="Q21">
        <f>(1+ VLOOKUP($C21,'vomcost mult'!$N$10:$R$32,5, FALSE))</f>
        <v>1.1080000000000001</v>
      </c>
    </row>
    <row r="22" spans="1:17">
      <c r="A22" s="87" t="s">
        <v>229</v>
      </c>
      <c r="B22" s="87" t="s">
        <v>117</v>
      </c>
      <c r="C22" s="87" t="s">
        <v>123</v>
      </c>
      <c r="D22" s="19" t="s">
        <v>214</v>
      </c>
      <c r="E22" s="19">
        <v>1</v>
      </c>
      <c r="F22" s="19">
        <v>4800</v>
      </c>
      <c r="G22" s="19">
        <f t="shared" si="0"/>
        <v>1.17</v>
      </c>
      <c r="H22" s="19">
        <v>0.01</v>
      </c>
      <c r="M22">
        <f t="shared" si="1"/>
        <v>1.17</v>
      </c>
      <c r="P22">
        <f>(1+ VLOOKUP($B22,'vomcost mult'!$N$10:$R$32,5, FALSE))</f>
        <v>1.1080000000000001</v>
      </c>
      <c r="Q22">
        <f>(1+ VLOOKUP($C22,'vomcost mult'!$N$10:$R$32,5, FALSE))</f>
        <v>1.054</v>
      </c>
    </row>
    <row r="23" spans="1:17">
      <c r="A23" s="87" t="s">
        <v>229</v>
      </c>
      <c r="B23" s="87" t="s">
        <v>123</v>
      </c>
      <c r="C23" s="87" t="s">
        <v>117</v>
      </c>
      <c r="D23" s="19" t="s">
        <v>214</v>
      </c>
      <c r="E23" s="19">
        <v>1</v>
      </c>
      <c r="F23" s="19">
        <v>4800</v>
      </c>
      <c r="G23" s="19">
        <f t="shared" si="0"/>
        <v>1.17</v>
      </c>
      <c r="H23" s="19">
        <v>0.01</v>
      </c>
      <c r="M23">
        <f t="shared" si="1"/>
        <v>1.17</v>
      </c>
      <c r="P23">
        <f>(1+ VLOOKUP($B23,'vomcost mult'!$N$10:$R$32,5, FALSE))</f>
        <v>1.054</v>
      </c>
      <c r="Q23">
        <f>(1+ VLOOKUP($C23,'vomcost mult'!$N$10:$R$32,5, FALSE))</f>
        <v>1.1080000000000001</v>
      </c>
    </row>
    <row r="24" spans="1:17">
      <c r="A24" s="87" t="s">
        <v>229</v>
      </c>
      <c r="B24" s="87" t="s">
        <v>117</v>
      </c>
      <c r="C24" s="87" t="s">
        <v>126</v>
      </c>
      <c r="D24" s="19" t="s">
        <v>214</v>
      </c>
      <c r="E24" s="19">
        <v>1</v>
      </c>
      <c r="F24" s="19">
        <v>5000</v>
      </c>
      <c r="G24" s="19">
        <f t="shared" si="0"/>
        <v>1.31</v>
      </c>
      <c r="H24" s="19">
        <v>0.01</v>
      </c>
      <c r="M24">
        <f t="shared" si="1"/>
        <v>1.31</v>
      </c>
      <c r="P24">
        <f>(1+ VLOOKUP($B24,'vomcost mult'!$N$10:$R$32,5, FALSE))</f>
        <v>1.1080000000000001</v>
      </c>
      <c r="Q24">
        <f>(1+ VLOOKUP($C24,'vomcost mult'!$N$10:$R$32,5, FALSE))</f>
        <v>1.18</v>
      </c>
    </row>
    <row r="25" spans="1:17">
      <c r="A25" s="87" t="s">
        <v>229</v>
      </c>
      <c r="B25" s="87" t="s">
        <v>126</v>
      </c>
      <c r="C25" s="87" t="s">
        <v>117</v>
      </c>
      <c r="D25" s="19" t="s">
        <v>214</v>
      </c>
      <c r="E25" s="19">
        <v>1</v>
      </c>
      <c r="F25" s="19">
        <v>5000</v>
      </c>
      <c r="G25" s="19">
        <f t="shared" si="0"/>
        <v>1.31</v>
      </c>
      <c r="H25" s="19">
        <v>0.01</v>
      </c>
      <c r="M25">
        <f t="shared" si="1"/>
        <v>1.31</v>
      </c>
      <c r="P25">
        <f>(1+ VLOOKUP($B25,'vomcost mult'!$N$10:$R$32,5, FALSE))</f>
        <v>1.18</v>
      </c>
      <c r="Q25">
        <f>(1+ VLOOKUP($C25,'vomcost mult'!$N$10:$R$32,5, FALSE))</f>
        <v>1.1080000000000001</v>
      </c>
    </row>
    <row r="26" spans="1:17">
      <c r="A26" s="87" t="s">
        <v>229</v>
      </c>
      <c r="B26" s="87" t="s">
        <v>117</v>
      </c>
      <c r="C26" s="87" t="s">
        <v>129</v>
      </c>
      <c r="D26" s="19" t="s">
        <v>214</v>
      </c>
      <c r="E26" s="19">
        <v>1</v>
      </c>
      <c r="F26" s="19">
        <v>1400</v>
      </c>
      <c r="G26" s="19">
        <f t="shared" si="0"/>
        <v>1.44</v>
      </c>
      <c r="H26" s="19">
        <v>0.01</v>
      </c>
      <c r="M26">
        <f t="shared" si="1"/>
        <v>1.44</v>
      </c>
      <c r="P26">
        <f>(1+ VLOOKUP($B26,'vomcost mult'!$N$10:$R$32,5, FALSE))</f>
        <v>1.1080000000000001</v>
      </c>
      <c r="Q26">
        <f>(1+ VLOOKUP($C26,'vomcost mult'!$N$10:$R$32,5, FALSE))</f>
        <v>1.296</v>
      </c>
    </row>
    <row r="27" spans="1:17">
      <c r="A27" s="87" t="s">
        <v>229</v>
      </c>
      <c r="B27" s="87" t="s">
        <v>129</v>
      </c>
      <c r="C27" s="87" t="s">
        <v>117</v>
      </c>
      <c r="D27" s="19" t="s">
        <v>214</v>
      </c>
      <c r="E27" s="19">
        <v>1</v>
      </c>
      <c r="F27" s="19">
        <v>1400</v>
      </c>
      <c r="G27" s="19">
        <f t="shared" si="0"/>
        <v>1.44</v>
      </c>
      <c r="H27" s="19">
        <v>0.01</v>
      </c>
      <c r="M27">
        <f t="shared" si="1"/>
        <v>1.44</v>
      </c>
      <c r="P27">
        <f>(1+ VLOOKUP($B27,'vomcost mult'!$N$10:$R$32,5, FALSE))</f>
        <v>1.296</v>
      </c>
      <c r="Q27">
        <f>(1+ VLOOKUP($C27,'vomcost mult'!$N$10:$R$32,5, FALSE))</f>
        <v>1.1080000000000001</v>
      </c>
    </row>
    <row r="28" spans="1:17">
      <c r="A28" s="87" t="s">
        <v>229</v>
      </c>
      <c r="B28" s="87" t="s">
        <v>117</v>
      </c>
      <c r="C28" s="87" t="s">
        <v>130</v>
      </c>
      <c r="D28" s="19" t="s">
        <v>214</v>
      </c>
      <c r="E28" s="19">
        <v>1</v>
      </c>
      <c r="F28" s="19">
        <v>2000</v>
      </c>
      <c r="G28" s="19">
        <f t="shared" si="0"/>
        <v>0.76</v>
      </c>
      <c r="H28" s="19">
        <v>0.01</v>
      </c>
      <c r="M28">
        <f t="shared" si="1"/>
        <v>0.76</v>
      </c>
      <c r="P28">
        <f>(1+ VLOOKUP($B28,'vomcost mult'!$N$10:$R$32,5, FALSE))</f>
        <v>1.1080000000000001</v>
      </c>
      <c r="Q28">
        <f>(1+ VLOOKUP($C28,'vomcost mult'!$N$10:$R$32,5, FALSE))</f>
        <v>0.69</v>
      </c>
    </row>
    <row r="29" spans="1:17">
      <c r="A29" s="87" t="s">
        <v>229</v>
      </c>
      <c r="B29" s="87" t="s">
        <v>130</v>
      </c>
      <c r="C29" s="87" t="s">
        <v>117</v>
      </c>
      <c r="D29" s="19" t="s">
        <v>214</v>
      </c>
      <c r="E29" s="19">
        <v>1</v>
      </c>
      <c r="F29" s="19">
        <v>3000</v>
      </c>
      <c r="G29" s="19">
        <f t="shared" si="0"/>
        <v>0.76</v>
      </c>
      <c r="H29" s="19">
        <v>0.01</v>
      </c>
      <c r="M29">
        <f t="shared" si="1"/>
        <v>0.76</v>
      </c>
      <c r="P29">
        <f>(1+ VLOOKUP($B29,'vomcost mult'!$N$10:$R$32,5, FALSE))</f>
        <v>0.69</v>
      </c>
      <c r="Q29">
        <f>(1+ VLOOKUP($C29,'vomcost mult'!$N$10:$R$32,5, FALSE))</f>
        <v>1.1080000000000001</v>
      </c>
    </row>
    <row r="30" spans="1:17">
      <c r="A30" s="87" t="s">
        <v>229</v>
      </c>
      <c r="B30" s="87" t="s">
        <v>117</v>
      </c>
      <c r="C30" s="87" t="s">
        <v>134</v>
      </c>
      <c r="D30" s="19" t="s">
        <v>214</v>
      </c>
      <c r="E30" s="19">
        <v>1</v>
      </c>
      <c r="F30" s="19">
        <v>1315</v>
      </c>
      <c r="G30" s="19">
        <f t="shared" si="0"/>
        <v>1.28</v>
      </c>
      <c r="H30" s="19">
        <v>0.01</v>
      </c>
      <c r="M30">
        <f t="shared" si="1"/>
        <v>1.28</v>
      </c>
      <c r="P30">
        <f>(1+ VLOOKUP($B30,'vomcost mult'!$N$10:$R$32,5, FALSE))</f>
        <v>1.1080000000000001</v>
      </c>
      <c r="Q30">
        <f>(1+ VLOOKUP($C30,'vomcost mult'!$N$10:$R$32,5, FALSE))</f>
        <v>1.157</v>
      </c>
    </row>
    <row r="31" spans="1:17">
      <c r="A31" s="87" t="s">
        <v>229</v>
      </c>
      <c r="B31" s="87" t="s">
        <v>134</v>
      </c>
      <c r="C31" s="87" t="s">
        <v>117</v>
      </c>
      <c r="D31" s="19" t="s">
        <v>214</v>
      </c>
      <c r="E31" s="19">
        <v>1</v>
      </c>
      <c r="F31" s="19">
        <v>1315</v>
      </c>
      <c r="G31" s="19">
        <f t="shared" si="0"/>
        <v>1.28</v>
      </c>
      <c r="H31" s="19">
        <v>0.01</v>
      </c>
      <c r="M31">
        <f t="shared" si="1"/>
        <v>1.28</v>
      </c>
      <c r="P31">
        <f>(1+ VLOOKUP($B31,'vomcost mult'!$N$10:$R$32,5, FALSE))</f>
        <v>1.157</v>
      </c>
      <c r="Q31">
        <f>(1+ VLOOKUP($C31,'vomcost mult'!$N$10:$R$32,5, FALSE))</f>
        <v>1.1080000000000001</v>
      </c>
    </row>
    <row r="32" spans="1:17">
      <c r="A32" s="87" t="s">
        <v>229</v>
      </c>
      <c r="B32" s="87" t="s">
        <v>117</v>
      </c>
      <c r="C32" s="87" t="s">
        <v>135</v>
      </c>
      <c r="D32" s="19" t="s">
        <v>214</v>
      </c>
      <c r="E32" s="19">
        <v>1</v>
      </c>
      <c r="F32" s="19">
        <v>1400</v>
      </c>
      <c r="G32" s="19">
        <f t="shared" si="0"/>
        <v>1.29</v>
      </c>
      <c r="H32" s="19">
        <v>0.01</v>
      </c>
      <c r="M32">
        <f t="shared" si="1"/>
        <v>1.29</v>
      </c>
      <c r="P32">
        <f>(1+ VLOOKUP($B32,'vomcost mult'!$N$10:$R$32,5, FALSE))</f>
        <v>1.1080000000000001</v>
      </c>
      <c r="Q32">
        <f>(1+ VLOOKUP($C32,'vomcost mult'!$N$10:$R$32,5, FALSE))</f>
        <v>1.165</v>
      </c>
    </row>
    <row r="33" spans="1:17">
      <c r="A33" s="87" t="s">
        <v>229</v>
      </c>
      <c r="B33" s="87" t="s">
        <v>135</v>
      </c>
      <c r="C33" s="87" t="s">
        <v>117</v>
      </c>
      <c r="D33" s="19" t="s">
        <v>214</v>
      </c>
      <c r="E33" s="19">
        <v>1</v>
      </c>
      <c r="F33" s="19">
        <v>1400</v>
      </c>
      <c r="G33" s="19">
        <f t="shared" si="0"/>
        <v>1.29</v>
      </c>
      <c r="H33" s="19">
        <v>0.01</v>
      </c>
      <c r="M33">
        <f t="shared" si="1"/>
        <v>1.29</v>
      </c>
      <c r="P33">
        <f>(1+ VLOOKUP($B33,'vomcost mult'!$N$10:$R$32,5, FALSE))</f>
        <v>1.165</v>
      </c>
      <c r="Q33">
        <f>(1+ VLOOKUP($C33,'vomcost mult'!$N$10:$R$32,5, FALSE))</f>
        <v>1.1080000000000001</v>
      </c>
    </row>
    <row r="34" spans="1:17">
      <c r="A34" s="87" t="s">
        <v>229</v>
      </c>
      <c r="B34" s="87" t="s">
        <v>118</v>
      </c>
      <c r="C34" s="87" t="s">
        <v>119</v>
      </c>
      <c r="D34" s="19" t="s">
        <v>214</v>
      </c>
      <c r="E34" s="19">
        <v>1</v>
      </c>
      <c r="F34" s="19">
        <v>600</v>
      </c>
      <c r="G34" s="19">
        <f t="shared" si="0"/>
        <v>1.55</v>
      </c>
      <c r="H34" s="19">
        <v>0.01</v>
      </c>
      <c r="M34">
        <f t="shared" si="1"/>
        <v>1.55</v>
      </c>
      <c r="P34">
        <f>(1+ VLOOKUP($B34,'vomcost mult'!$N$10:$R$32,5, FALSE))</f>
        <v>1.25</v>
      </c>
      <c r="Q34">
        <f>(1+ VLOOKUP($C34,'vomcost mult'!$N$10:$R$32,5, FALSE))</f>
        <v>1.238</v>
      </c>
    </row>
    <row r="35" spans="1:17">
      <c r="A35" s="87" t="s">
        <v>229</v>
      </c>
      <c r="B35" s="87" t="s">
        <v>119</v>
      </c>
      <c r="C35" s="87" t="s">
        <v>118</v>
      </c>
      <c r="D35" s="19" t="s">
        <v>214</v>
      </c>
      <c r="E35" s="19">
        <v>1</v>
      </c>
      <c r="F35" s="19">
        <v>590</v>
      </c>
      <c r="G35" s="19">
        <f t="shared" si="0"/>
        <v>1.55</v>
      </c>
      <c r="H35" s="19">
        <v>0.01</v>
      </c>
      <c r="M35">
        <f t="shared" si="1"/>
        <v>1.55</v>
      </c>
      <c r="P35">
        <f>(1+ VLOOKUP($B35,'vomcost mult'!$N$10:$R$32,5, FALSE))</f>
        <v>1.238</v>
      </c>
      <c r="Q35">
        <f>(1+ VLOOKUP($C35,'vomcost mult'!$N$10:$R$32,5, FALSE))</f>
        <v>1.25</v>
      </c>
    </row>
    <row r="36" spans="1:17">
      <c r="A36" s="87" t="s">
        <v>229</v>
      </c>
      <c r="B36" s="87" t="s">
        <v>118</v>
      </c>
      <c r="C36" s="87" t="s">
        <v>130</v>
      </c>
      <c r="D36" s="19" t="s">
        <v>214</v>
      </c>
      <c r="E36" s="19">
        <v>1</v>
      </c>
      <c r="F36" s="19">
        <v>0</v>
      </c>
      <c r="G36" s="19">
        <f t="shared" si="0"/>
        <v>0.86</v>
      </c>
      <c r="H36" s="19">
        <v>0.01</v>
      </c>
      <c r="M36">
        <f t="shared" si="1"/>
        <v>0.86</v>
      </c>
      <c r="P36">
        <f>(1+ VLOOKUP($B36,'vomcost mult'!$N$10:$R$32,5, FALSE))</f>
        <v>1.25</v>
      </c>
      <c r="Q36">
        <f>(1+ VLOOKUP($C36,'vomcost mult'!$N$10:$R$32,5, FALSE))</f>
        <v>0.69</v>
      </c>
    </row>
    <row r="37" spans="1:17">
      <c r="A37" s="87" t="s">
        <v>229</v>
      </c>
      <c r="B37" s="87" t="s">
        <v>130</v>
      </c>
      <c r="C37" s="87" t="s">
        <v>118</v>
      </c>
      <c r="D37" s="19" t="s">
        <v>214</v>
      </c>
      <c r="E37" s="19">
        <v>1</v>
      </c>
      <c r="F37" s="19">
        <v>0</v>
      </c>
      <c r="G37" s="19">
        <f t="shared" si="0"/>
        <v>0.86</v>
      </c>
      <c r="H37" s="19">
        <v>0.01</v>
      </c>
      <c r="M37">
        <f t="shared" si="1"/>
        <v>0.86</v>
      </c>
      <c r="P37">
        <f>(1+ VLOOKUP($B37,'vomcost mult'!$N$10:$R$32,5, FALSE))</f>
        <v>0.69</v>
      </c>
      <c r="Q37">
        <f>(1+ VLOOKUP($C37,'vomcost mult'!$N$10:$R$32,5, FALSE))</f>
        <v>1.25</v>
      </c>
    </row>
    <row r="38" spans="1:17">
      <c r="A38" s="87" t="s">
        <v>229</v>
      </c>
      <c r="B38" s="87" t="s">
        <v>118</v>
      </c>
      <c r="C38" s="87" t="s">
        <v>134</v>
      </c>
      <c r="D38" s="19" t="s">
        <v>214</v>
      </c>
      <c r="E38" s="19">
        <v>1</v>
      </c>
      <c r="F38" s="19">
        <v>1700</v>
      </c>
      <c r="G38" s="19">
        <f t="shared" si="0"/>
        <v>1.45</v>
      </c>
      <c r="H38" s="19">
        <v>0.01</v>
      </c>
      <c r="M38">
        <f t="shared" si="1"/>
        <v>1.45</v>
      </c>
      <c r="P38">
        <f>(1+ VLOOKUP($B38,'vomcost mult'!$N$10:$R$32,5, FALSE))</f>
        <v>1.25</v>
      </c>
      <c r="Q38">
        <f>(1+ VLOOKUP($C38,'vomcost mult'!$N$10:$R$32,5, FALSE))</f>
        <v>1.157</v>
      </c>
    </row>
    <row r="39" spans="1:17">
      <c r="A39" s="87" t="s">
        <v>229</v>
      </c>
      <c r="B39" s="87" t="s">
        <v>134</v>
      </c>
      <c r="C39" s="87" t="s">
        <v>118</v>
      </c>
      <c r="D39" s="19" t="s">
        <v>214</v>
      </c>
      <c r="E39" s="19">
        <v>1</v>
      </c>
      <c r="F39" s="19">
        <v>1300</v>
      </c>
      <c r="G39" s="19">
        <f t="shared" si="0"/>
        <v>1.45</v>
      </c>
      <c r="H39" s="19">
        <v>0.01</v>
      </c>
      <c r="M39">
        <f t="shared" si="1"/>
        <v>1.45</v>
      </c>
      <c r="P39">
        <f>(1+ VLOOKUP($B39,'vomcost mult'!$N$10:$R$32,5, FALSE))</f>
        <v>1.157</v>
      </c>
      <c r="Q39">
        <f>(1+ VLOOKUP($C39,'vomcost mult'!$N$10:$R$32,5, FALSE))</f>
        <v>1.25</v>
      </c>
    </row>
    <row r="40" spans="1:17">
      <c r="A40" s="87" t="s">
        <v>229</v>
      </c>
      <c r="B40" s="87" t="s">
        <v>119</v>
      </c>
      <c r="C40" s="87" t="s">
        <v>126</v>
      </c>
      <c r="D40" s="19" t="s">
        <v>214</v>
      </c>
      <c r="E40" s="19">
        <v>1</v>
      </c>
      <c r="F40" s="19">
        <v>700</v>
      </c>
      <c r="G40" s="19">
        <f t="shared" si="0"/>
        <v>1.46</v>
      </c>
      <c r="H40" s="19">
        <v>0.01</v>
      </c>
      <c r="M40">
        <f t="shared" si="1"/>
        <v>1.46</v>
      </c>
      <c r="P40">
        <f>(1+ VLOOKUP($B40,'vomcost mult'!$N$10:$R$32,5, FALSE))</f>
        <v>1.238</v>
      </c>
      <c r="Q40">
        <f>(1+ VLOOKUP($C40,'vomcost mult'!$N$10:$R$32,5, FALSE))</f>
        <v>1.18</v>
      </c>
    </row>
    <row r="41" spans="1:17">
      <c r="A41" s="87" t="s">
        <v>229</v>
      </c>
      <c r="B41" s="87" t="s">
        <v>126</v>
      </c>
      <c r="C41" s="87" t="s">
        <v>119</v>
      </c>
      <c r="D41" s="19" t="s">
        <v>214</v>
      </c>
      <c r="E41" s="19">
        <v>1</v>
      </c>
      <c r="F41" s="19">
        <v>700</v>
      </c>
      <c r="G41" s="19">
        <f t="shared" si="0"/>
        <v>1.46</v>
      </c>
      <c r="H41" s="19">
        <v>0.01</v>
      </c>
      <c r="M41">
        <f t="shared" si="1"/>
        <v>1.46</v>
      </c>
      <c r="P41">
        <f>(1+ VLOOKUP($B41,'vomcost mult'!$N$10:$R$32,5, FALSE))</f>
        <v>1.18</v>
      </c>
      <c r="Q41">
        <f>(1+ VLOOKUP($C41,'vomcost mult'!$N$10:$R$32,5, FALSE))</f>
        <v>1.238</v>
      </c>
    </row>
    <row r="42" spans="1:17">
      <c r="A42" s="87" t="s">
        <v>229</v>
      </c>
      <c r="B42" s="87" t="s">
        <v>119</v>
      </c>
      <c r="C42" s="87" t="s">
        <v>129</v>
      </c>
      <c r="D42" s="19" t="s">
        <v>214</v>
      </c>
      <c r="E42" s="19">
        <v>1</v>
      </c>
      <c r="F42" s="19">
        <v>1632</v>
      </c>
      <c r="G42" s="19">
        <f t="shared" si="0"/>
        <v>1.6</v>
      </c>
      <c r="H42" s="19">
        <v>0.01</v>
      </c>
      <c r="M42">
        <f t="shared" si="1"/>
        <v>1.6</v>
      </c>
      <c r="P42">
        <f>(1+ VLOOKUP($B42,'vomcost mult'!$N$10:$R$32,5, FALSE))</f>
        <v>1.238</v>
      </c>
      <c r="Q42">
        <f>(1+ VLOOKUP($C42,'vomcost mult'!$N$10:$R$32,5, FALSE))</f>
        <v>1.296</v>
      </c>
    </row>
    <row r="43" spans="1:17">
      <c r="A43" s="87" t="s">
        <v>229</v>
      </c>
      <c r="B43" s="87" t="s">
        <v>129</v>
      </c>
      <c r="C43" s="87" t="s">
        <v>119</v>
      </c>
      <c r="D43" s="19" t="s">
        <v>214</v>
      </c>
      <c r="E43" s="19">
        <v>1</v>
      </c>
      <c r="F43" s="19">
        <v>1632</v>
      </c>
      <c r="G43" s="19">
        <f t="shared" si="0"/>
        <v>1.6</v>
      </c>
      <c r="H43" s="19">
        <v>0.01</v>
      </c>
      <c r="M43">
        <f t="shared" si="1"/>
        <v>1.6</v>
      </c>
      <c r="P43">
        <f>(1+ VLOOKUP($B43,'vomcost mult'!$N$10:$R$32,5, FALSE))</f>
        <v>1.296</v>
      </c>
      <c r="Q43">
        <f>(1+ VLOOKUP($C43,'vomcost mult'!$N$10:$R$32,5, FALSE))</f>
        <v>1.238</v>
      </c>
    </row>
    <row r="44" spans="1:17">
      <c r="A44" s="87" t="s">
        <v>229</v>
      </c>
      <c r="B44" s="87" t="s">
        <v>119</v>
      </c>
      <c r="C44" s="87" t="s">
        <v>133</v>
      </c>
      <c r="D44" s="19" t="s">
        <v>214</v>
      </c>
      <c r="E44" s="19">
        <v>1</v>
      </c>
      <c r="F44" s="19">
        <v>715</v>
      </c>
      <c r="G44" s="19">
        <f t="shared" si="0"/>
        <v>1.44</v>
      </c>
      <c r="H44" s="19">
        <v>0.01</v>
      </c>
      <c r="M44">
        <f t="shared" si="1"/>
        <v>1.44</v>
      </c>
      <c r="P44">
        <f>(1+ VLOOKUP($B44,'vomcost mult'!$N$10:$R$32,5, FALSE))</f>
        <v>1.238</v>
      </c>
      <c r="Q44">
        <f>(1+ VLOOKUP($C44,'vomcost mult'!$N$10:$R$32,5, FALSE))</f>
        <v>1.165</v>
      </c>
    </row>
    <row r="45" spans="1:17">
      <c r="A45" s="87" t="s">
        <v>229</v>
      </c>
      <c r="B45" s="87" t="s">
        <v>133</v>
      </c>
      <c r="C45" s="87" t="s">
        <v>119</v>
      </c>
      <c r="D45" s="19" t="s">
        <v>214</v>
      </c>
      <c r="E45" s="19">
        <v>1</v>
      </c>
      <c r="F45" s="19">
        <v>715</v>
      </c>
      <c r="G45" s="19">
        <f t="shared" si="0"/>
        <v>1.44</v>
      </c>
      <c r="H45" s="19">
        <v>0.01</v>
      </c>
      <c r="M45">
        <f t="shared" si="1"/>
        <v>1.44</v>
      </c>
      <c r="P45">
        <f>(1+ VLOOKUP($B45,'vomcost mult'!$N$10:$R$32,5, FALSE))</f>
        <v>1.165</v>
      </c>
      <c r="Q45">
        <f>(1+ VLOOKUP($C45,'vomcost mult'!$N$10:$R$32,5, FALSE))</f>
        <v>1.238</v>
      </c>
    </row>
    <row r="46" spans="1:17">
      <c r="A46" s="87" t="s">
        <v>229</v>
      </c>
      <c r="B46" s="87" t="s">
        <v>119</v>
      </c>
      <c r="C46" s="87" t="s">
        <v>135</v>
      </c>
      <c r="D46" s="19" t="s">
        <v>214</v>
      </c>
      <c r="E46" s="19">
        <v>1</v>
      </c>
      <c r="F46" s="19">
        <v>1400</v>
      </c>
      <c r="G46" s="19">
        <f t="shared" si="0"/>
        <v>1.44</v>
      </c>
      <c r="H46" s="19">
        <v>0.01</v>
      </c>
      <c r="M46">
        <f t="shared" si="1"/>
        <v>1.44</v>
      </c>
      <c r="P46">
        <f>(1+ VLOOKUP($B46,'vomcost mult'!$N$10:$R$32,5, FALSE))</f>
        <v>1.238</v>
      </c>
      <c r="Q46">
        <f>(1+ VLOOKUP($C46,'vomcost mult'!$N$10:$R$32,5, FALSE))</f>
        <v>1.165</v>
      </c>
    </row>
    <row r="47" spans="1:17">
      <c r="A47" s="87" t="s">
        <v>229</v>
      </c>
      <c r="B47" s="87" t="s">
        <v>135</v>
      </c>
      <c r="C47" s="87" t="s">
        <v>119</v>
      </c>
      <c r="D47" s="19" t="s">
        <v>214</v>
      </c>
      <c r="E47" s="19">
        <v>1</v>
      </c>
      <c r="F47" s="19">
        <v>1400</v>
      </c>
      <c r="G47" s="19">
        <f t="shared" si="0"/>
        <v>1.44</v>
      </c>
      <c r="H47" s="19">
        <v>0.01</v>
      </c>
      <c r="M47">
        <f t="shared" si="1"/>
        <v>1.44</v>
      </c>
      <c r="P47">
        <f>(1+ VLOOKUP($B47,'vomcost mult'!$N$10:$R$32,5, FALSE))</f>
        <v>1.165</v>
      </c>
      <c r="Q47">
        <f>(1+ VLOOKUP($C47,'vomcost mult'!$N$10:$R$32,5, FALSE))</f>
        <v>1.238</v>
      </c>
    </row>
    <row r="48" spans="1:17">
      <c r="A48" s="87" t="s">
        <v>229</v>
      </c>
      <c r="B48" s="87" t="s">
        <v>120</v>
      </c>
      <c r="C48" s="87" t="s">
        <v>122</v>
      </c>
      <c r="D48" s="19" t="s">
        <v>214</v>
      </c>
      <c r="E48" s="19">
        <v>1</v>
      </c>
      <c r="F48" s="19">
        <v>1016</v>
      </c>
      <c r="G48" s="19">
        <f t="shared" si="0"/>
        <v>0.88</v>
      </c>
      <c r="H48" s="19">
        <v>0.01</v>
      </c>
      <c r="M48">
        <f t="shared" si="1"/>
        <v>0.88</v>
      </c>
      <c r="P48">
        <f>(1+ VLOOKUP($B48,'vomcost mult'!$N$10:$R$32,5, FALSE))</f>
        <v>0.79600000000000004</v>
      </c>
      <c r="Q48">
        <f>(1+ VLOOKUP($C48,'vomcost mult'!$N$10:$R$32,5, FALSE))</f>
        <v>1.1080000000000001</v>
      </c>
    </row>
    <row r="49" spans="1:17">
      <c r="A49" s="87" t="s">
        <v>229</v>
      </c>
      <c r="B49" s="87" t="s">
        <v>122</v>
      </c>
      <c r="C49" s="87" t="s">
        <v>120</v>
      </c>
      <c r="D49" s="19" t="s">
        <v>214</v>
      </c>
      <c r="E49" s="19">
        <v>1</v>
      </c>
      <c r="F49" s="19">
        <v>1016</v>
      </c>
      <c r="G49" s="19">
        <f t="shared" si="0"/>
        <v>0.88</v>
      </c>
      <c r="H49" s="19">
        <v>0.01</v>
      </c>
      <c r="M49">
        <f t="shared" si="1"/>
        <v>0.88</v>
      </c>
      <c r="P49">
        <f>(1+ VLOOKUP($B49,'vomcost mult'!$N$10:$R$32,5, FALSE))</f>
        <v>1.1080000000000001</v>
      </c>
      <c r="Q49">
        <f>(1+ VLOOKUP($C49,'vomcost mult'!$N$10:$R$32,5, FALSE))</f>
        <v>0.79600000000000004</v>
      </c>
    </row>
    <row r="50" spans="1:17">
      <c r="A50" s="87" t="s">
        <v>229</v>
      </c>
      <c r="B50" s="87" t="s">
        <v>120</v>
      </c>
      <c r="C50" s="87" t="s">
        <v>125</v>
      </c>
      <c r="D50" s="19" t="s">
        <v>214</v>
      </c>
      <c r="E50" s="19">
        <v>1</v>
      </c>
      <c r="F50" s="19">
        <v>950</v>
      </c>
      <c r="G50" s="19">
        <f t="shared" si="0"/>
        <v>0.56000000000000005</v>
      </c>
      <c r="H50" s="19">
        <v>0.01</v>
      </c>
      <c r="M50">
        <f t="shared" si="1"/>
        <v>0.56000000000000005</v>
      </c>
      <c r="P50">
        <f>(1+ VLOOKUP($B50,'vomcost mult'!$N$10:$R$32,5, FALSE))</f>
        <v>0.79600000000000004</v>
      </c>
      <c r="Q50">
        <f>(1+ VLOOKUP($C50,'vomcost mult'!$N$10:$R$32,5, FALSE))</f>
        <v>0.70100000000000007</v>
      </c>
    </row>
    <row r="51" spans="1:17">
      <c r="A51" s="87" t="s">
        <v>229</v>
      </c>
      <c r="B51" s="87" t="s">
        <v>125</v>
      </c>
      <c r="C51" s="87" t="s">
        <v>120</v>
      </c>
      <c r="D51" s="19" t="s">
        <v>214</v>
      </c>
      <c r="E51" s="19">
        <v>1</v>
      </c>
      <c r="F51" s="19">
        <v>879</v>
      </c>
      <c r="G51" s="19">
        <f t="shared" si="0"/>
        <v>0.56000000000000005</v>
      </c>
      <c r="H51" s="19">
        <v>0.01</v>
      </c>
      <c r="M51">
        <f t="shared" si="1"/>
        <v>0.56000000000000005</v>
      </c>
      <c r="P51">
        <f>(1+ VLOOKUP($B51,'vomcost mult'!$N$10:$R$32,5, FALSE))</f>
        <v>0.70100000000000007</v>
      </c>
      <c r="Q51">
        <f>(1+ VLOOKUP($C51,'vomcost mult'!$N$10:$R$32,5, FALSE))</f>
        <v>0.79600000000000004</v>
      </c>
    </row>
    <row r="52" spans="1:17">
      <c r="A52" s="87" t="s">
        <v>229</v>
      </c>
      <c r="B52" s="87" t="s">
        <v>121</v>
      </c>
      <c r="C52" s="87" t="s">
        <v>123</v>
      </c>
      <c r="D52" s="19" t="s">
        <v>214</v>
      </c>
      <c r="E52" s="19">
        <v>1</v>
      </c>
      <c r="F52" s="19">
        <v>5000</v>
      </c>
      <c r="G52" s="19">
        <f t="shared" si="0"/>
        <v>0.97</v>
      </c>
      <c r="H52" s="19">
        <v>0.01</v>
      </c>
      <c r="M52">
        <f t="shared" si="1"/>
        <v>0.97</v>
      </c>
      <c r="P52">
        <f>(1+ VLOOKUP($B52,'vomcost mult'!$N$10:$R$32,5, FALSE))</f>
        <v>0.91700000000000004</v>
      </c>
      <c r="Q52">
        <f>(1+ VLOOKUP($C52,'vomcost mult'!$N$10:$R$32,5, FALSE))</f>
        <v>1.054</v>
      </c>
    </row>
    <row r="53" spans="1:17">
      <c r="A53" s="87" t="s">
        <v>229</v>
      </c>
      <c r="B53" s="87" t="s">
        <v>123</v>
      </c>
      <c r="C53" s="87" t="s">
        <v>121</v>
      </c>
      <c r="D53" s="19" t="s">
        <v>214</v>
      </c>
      <c r="E53" s="19">
        <v>1</v>
      </c>
      <c r="F53" s="19">
        <v>5000</v>
      </c>
      <c r="G53" s="19">
        <f t="shared" si="0"/>
        <v>0.97</v>
      </c>
      <c r="H53" s="19">
        <v>0.01</v>
      </c>
      <c r="M53">
        <f t="shared" si="1"/>
        <v>0.97</v>
      </c>
      <c r="P53">
        <f>(1+ VLOOKUP($B53,'vomcost mult'!$N$10:$R$32,5, FALSE))</f>
        <v>1.054</v>
      </c>
      <c r="Q53">
        <f>(1+ VLOOKUP($C53,'vomcost mult'!$N$10:$R$32,5, FALSE))</f>
        <v>0.91700000000000004</v>
      </c>
    </row>
    <row r="54" spans="1:17">
      <c r="A54" s="87" t="s">
        <v>229</v>
      </c>
      <c r="B54" s="87" t="s">
        <v>122</v>
      </c>
      <c r="C54" s="87" t="s">
        <v>128</v>
      </c>
      <c r="D54" s="19" t="s">
        <v>214</v>
      </c>
      <c r="E54" s="19">
        <v>1</v>
      </c>
      <c r="F54" s="19">
        <v>0</v>
      </c>
      <c r="G54" s="19">
        <f t="shared" si="0"/>
        <v>1.47</v>
      </c>
      <c r="H54" s="19">
        <v>0.01</v>
      </c>
      <c r="M54">
        <f t="shared" si="1"/>
        <v>1.47</v>
      </c>
      <c r="P54">
        <f>(1+ VLOOKUP($B54,'vomcost mult'!$N$10:$R$32,5, FALSE))</f>
        <v>1.1080000000000001</v>
      </c>
      <c r="Q54">
        <f>(1+ VLOOKUP($C54,'vomcost mult'!$N$10:$R$32,5, FALSE))</f>
        <v>1.325</v>
      </c>
    </row>
    <row r="55" spans="1:17">
      <c r="A55" s="87" t="s">
        <v>229</v>
      </c>
      <c r="B55" s="87" t="s">
        <v>128</v>
      </c>
      <c r="C55" s="87" t="s">
        <v>122</v>
      </c>
      <c r="D55" s="19" t="s">
        <v>214</v>
      </c>
      <c r="E55" s="19">
        <v>1</v>
      </c>
      <c r="F55" s="19">
        <v>0</v>
      </c>
      <c r="G55" s="19">
        <f t="shared" si="0"/>
        <v>1.47</v>
      </c>
      <c r="H55" s="19">
        <v>0.01</v>
      </c>
      <c r="M55">
        <f t="shared" si="1"/>
        <v>1.47</v>
      </c>
      <c r="P55">
        <f>(1+ VLOOKUP($B55,'vomcost mult'!$N$10:$R$32,5, FALSE))</f>
        <v>1.325</v>
      </c>
      <c r="Q55">
        <f>(1+ VLOOKUP($C55,'vomcost mult'!$N$10:$R$32,5, FALSE))</f>
        <v>1.1080000000000001</v>
      </c>
    </row>
    <row r="56" spans="1:17">
      <c r="A56" s="87" t="s">
        <v>229</v>
      </c>
      <c r="B56" s="87" t="s">
        <v>122</v>
      </c>
      <c r="C56" s="87" t="s">
        <v>131</v>
      </c>
      <c r="D56" s="19" t="s">
        <v>214</v>
      </c>
      <c r="E56" s="19">
        <v>1</v>
      </c>
      <c r="F56" s="19">
        <v>2000</v>
      </c>
      <c r="G56" s="19">
        <f t="shared" si="0"/>
        <v>1.31</v>
      </c>
      <c r="H56" s="19">
        <v>0.01</v>
      </c>
      <c r="M56">
        <f t="shared" si="1"/>
        <v>1.31</v>
      </c>
      <c r="P56">
        <f>(1+ VLOOKUP($B56,'vomcost mult'!$N$10:$R$32,5, FALSE))</f>
        <v>1.1080000000000001</v>
      </c>
      <c r="Q56">
        <f>(1+ VLOOKUP($C56,'vomcost mult'!$N$10:$R$32,5, FALSE))</f>
        <v>1.181</v>
      </c>
    </row>
    <row r="57" spans="1:17">
      <c r="A57" s="87" t="s">
        <v>229</v>
      </c>
      <c r="B57" s="87" t="s">
        <v>131</v>
      </c>
      <c r="C57" s="87" t="s">
        <v>122</v>
      </c>
      <c r="D57" s="19" t="s">
        <v>214</v>
      </c>
      <c r="E57" s="19">
        <v>1</v>
      </c>
      <c r="F57" s="19">
        <v>2000</v>
      </c>
      <c r="G57" s="19">
        <f t="shared" si="0"/>
        <v>1.31</v>
      </c>
      <c r="H57" s="19">
        <v>0.01</v>
      </c>
      <c r="M57">
        <f t="shared" si="1"/>
        <v>1.31</v>
      </c>
      <c r="P57">
        <f>(1+ VLOOKUP($B57,'vomcost mult'!$N$10:$R$32,5, FALSE))</f>
        <v>1.181</v>
      </c>
      <c r="Q57">
        <f>(1+ VLOOKUP($C57,'vomcost mult'!$N$10:$R$32,5, FALSE))</f>
        <v>1.1080000000000001</v>
      </c>
    </row>
    <row r="58" spans="1:17">
      <c r="A58" s="87" t="s">
        <v>229</v>
      </c>
      <c r="B58" s="87" t="s">
        <v>122</v>
      </c>
      <c r="C58" s="87" t="s">
        <v>133</v>
      </c>
      <c r="D58" s="19" t="s">
        <v>214</v>
      </c>
      <c r="E58" s="19">
        <v>1</v>
      </c>
      <c r="F58" s="19">
        <v>1200</v>
      </c>
      <c r="G58" s="19">
        <f t="shared" si="0"/>
        <v>1.29</v>
      </c>
      <c r="H58" s="19">
        <v>0.01</v>
      </c>
      <c r="M58">
        <f t="shared" si="1"/>
        <v>1.29</v>
      </c>
      <c r="P58">
        <f>(1+ VLOOKUP($B58,'vomcost mult'!$N$10:$R$32,5, FALSE))</f>
        <v>1.1080000000000001</v>
      </c>
      <c r="Q58">
        <f>(1+ VLOOKUP($C58,'vomcost mult'!$N$10:$R$32,5, FALSE))</f>
        <v>1.165</v>
      </c>
    </row>
    <row r="59" spans="1:17">
      <c r="A59" s="87" t="s">
        <v>229</v>
      </c>
      <c r="B59" s="87" t="s">
        <v>133</v>
      </c>
      <c r="C59" s="87" t="s">
        <v>122</v>
      </c>
      <c r="D59" s="19" t="s">
        <v>214</v>
      </c>
      <c r="E59" s="19">
        <v>1</v>
      </c>
      <c r="F59" s="19">
        <v>1200</v>
      </c>
      <c r="G59" s="19">
        <f t="shared" si="0"/>
        <v>1.29</v>
      </c>
      <c r="H59" s="19">
        <v>0.01</v>
      </c>
      <c r="M59">
        <f t="shared" si="1"/>
        <v>1.29</v>
      </c>
      <c r="P59">
        <f>(1+ VLOOKUP($B59,'vomcost mult'!$N$10:$R$32,5, FALSE))</f>
        <v>1.165</v>
      </c>
      <c r="Q59">
        <f>(1+ VLOOKUP($C59,'vomcost mult'!$N$10:$R$32,5, FALSE))</f>
        <v>1.1080000000000001</v>
      </c>
    </row>
    <row r="60" spans="1:17">
      <c r="A60" s="87" t="s">
        <v>229</v>
      </c>
      <c r="B60" s="87" t="s">
        <v>123</v>
      </c>
      <c r="C60" s="87" t="s">
        <v>135</v>
      </c>
      <c r="D60" s="19" t="s">
        <v>214</v>
      </c>
      <c r="E60" s="19">
        <v>1</v>
      </c>
      <c r="F60" s="19">
        <v>5600</v>
      </c>
      <c r="G60" s="19">
        <f t="shared" si="0"/>
        <v>1.23</v>
      </c>
      <c r="H60" s="19">
        <v>0.01</v>
      </c>
      <c r="M60">
        <f t="shared" si="1"/>
        <v>1.23</v>
      </c>
      <c r="P60">
        <f>(1+ VLOOKUP($B60,'vomcost mult'!$N$10:$R$32,5, FALSE))</f>
        <v>1.054</v>
      </c>
      <c r="Q60">
        <f>(1+ VLOOKUP($C60,'vomcost mult'!$N$10:$R$32,5, FALSE))</f>
        <v>1.165</v>
      </c>
    </row>
    <row r="61" spans="1:17">
      <c r="A61" s="87" t="s">
        <v>229</v>
      </c>
      <c r="B61" s="87" t="s">
        <v>135</v>
      </c>
      <c r="C61" s="87" t="s">
        <v>123</v>
      </c>
      <c r="D61" s="19" t="s">
        <v>214</v>
      </c>
      <c r="E61" s="19">
        <v>1</v>
      </c>
      <c r="F61" s="19">
        <v>5600</v>
      </c>
      <c r="G61" s="19">
        <f t="shared" si="0"/>
        <v>1.23</v>
      </c>
      <c r="H61" s="19">
        <v>0.01</v>
      </c>
      <c r="M61">
        <f t="shared" si="1"/>
        <v>1.23</v>
      </c>
      <c r="P61">
        <f>(1+ VLOOKUP($B61,'vomcost mult'!$N$10:$R$32,5, FALSE))</f>
        <v>1.165</v>
      </c>
      <c r="Q61">
        <f>(1+ VLOOKUP($C61,'vomcost mult'!$N$10:$R$32,5, FALSE))</f>
        <v>1.054</v>
      </c>
    </row>
    <row r="62" spans="1:17">
      <c r="A62" s="87" t="s">
        <v>229</v>
      </c>
      <c r="B62" s="87" t="s">
        <v>124</v>
      </c>
      <c r="C62" s="87" t="s">
        <v>125</v>
      </c>
      <c r="D62" s="19" t="s">
        <v>214</v>
      </c>
      <c r="E62" s="19">
        <v>1</v>
      </c>
      <c r="F62" s="19">
        <v>950</v>
      </c>
      <c r="G62" s="19">
        <f t="shared" si="0"/>
        <v>0.54</v>
      </c>
      <c r="H62" s="19">
        <v>0.01</v>
      </c>
      <c r="M62">
        <f t="shared" si="1"/>
        <v>0.54</v>
      </c>
      <c r="P62">
        <f>(1+ VLOOKUP($B62,'vomcost mult'!$N$10:$R$32,5, FALSE))</f>
        <v>0.76700000000000002</v>
      </c>
      <c r="Q62">
        <f>(1+ VLOOKUP($C62,'vomcost mult'!$N$10:$R$32,5, FALSE))</f>
        <v>0.70100000000000007</v>
      </c>
    </row>
    <row r="63" spans="1:17">
      <c r="A63" s="87" t="s">
        <v>229</v>
      </c>
      <c r="B63" s="87" t="s">
        <v>125</v>
      </c>
      <c r="C63" s="87" t="s">
        <v>124</v>
      </c>
      <c r="D63" s="19" t="s">
        <v>214</v>
      </c>
      <c r="E63" s="19">
        <v>1</v>
      </c>
      <c r="F63" s="19">
        <v>950</v>
      </c>
      <c r="G63" s="19">
        <f t="shared" si="0"/>
        <v>0.54</v>
      </c>
      <c r="H63" s="19">
        <v>0.01</v>
      </c>
      <c r="M63">
        <f t="shared" si="1"/>
        <v>0.54</v>
      </c>
      <c r="P63">
        <f>(1+ VLOOKUP($B63,'vomcost mult'!$N$10:$R$32,5, FALSE))</f>
        <v>0.70100000000000007</v>
      </c>
      <c r="Q63">
        <f>(1+ VLOOKUP($C63,'vomcost mult'!$N$10:$R$32,5, FALSE))</f>
        <v>0.76700000000000002</v>
      </c>
    </row>
    <row r="64" spans="1:17">
      <c r="A64" s="87" t="s">
        <v>229</v>
      </c>
      <c r="B64" s="87" t="s">
        <v>124</v>
      </c>
      <c r="C64" s="87" t="s">
        <v>130</v>
      </c>
      <c r="D64" s="19" t="s">
        <v>214</v>
      </c>
      <c r="E64" s="19">
        <v>1</v>
      </c>
      <c r="F64" s="19">
        <v>700</v>
      </c>
      <c r="G64" s="19">
        <f t="shared" si="0"/>
        <v>0.53</v>
      </c>
      <c r="H64" s="19">
        <v>0.01</v>
      </c>
      <c r="M64">
        <f t="shared" si="1"/>
        <v>0.53</v>
      </c>
      <c r="P64">
        <f>(1+ VLOOKUP($B64,'vomcost mult'!$N$10:$R$32,5, FALSE))</f>
        <v>0.76700000000000002</v>
      </c>
      <c r="Q64">
        <f>(1+ VLOOKUP($C64,'vomcost mult'!$N$10:$R$32,5, FALSE))</f>
        <v>0.69</v>
      </c>
    </row>
    <row r="65" spans="1:17">
      <c r="A65" s="87" t="s">
        <v>229</v>
      </c>
      <c r="B65" s="87" t="s">
        <v>130</v>
      </c>
      <c r="C65" s="87" t="s">
        <v>124</v>
      </c>
      <c r="D65" s="19" t="s">
        <v>214</v>
      </c>
      <c r="E65" s="19">
        <v>1</v>
      </c>
      <c r="F65" s="19">
        <v>700</v>
      </c>
      <c r="G65" s="19">
        <f t="shared" si="0"/>
        <v>0.53</v>
      </c>
      <c r="H65" s="19">
        <v>0.01</v>
      </c>
      <c r="M65">
        <f t="shared" si="1"/>
        <v>0.53</v>
      </c>
      <c r="P65">
        <f>(1+ VLOOKUP($B65,'vomcost mult'!$N$10:$R$32,5, FALSE))</f>
        <v>0.69</v>
      </c>
      <c r="Q65">
        <f>(1+ VLOOKUP($C65,'vomcost mult'!$N$10:$R$32,5, FALSE))</f>
        <v>0.76700000000000002</v>
      </c>
    </row>
    <row r="66" spans="1:17">
      <c r="A66" s="87" t="s">
        <v>229</v>
      </c>
      <c r="B66" s="87" t="s">
        <v>124</v>
      </c>
      <c r="C66" s="87" t="s">
        <v>134</v>
      </c>
      <c r="D66" s="19" t="s">
        <v>214</v>
      </c>
      <c r="E66" s="19">
        <v>1</v>
      </c>
      <c r="F66" s="19">
        <v>700</v>
      </c>
      <c r="G66" s="19">
        <f t="shared" si="0"/>
        <v>0.89</v>
      </c>
      <c r="H66" s="19">
        <v>0.01</v>
      </c>
      <c r="M66">
        <f t="shared" si="1"/>
        <v>0.89</v>
      </c>
      <c r="P66">
        <f>(1+ VLOOKUP($B66,'vomcost mult'!$N$10:$R$32,5, FALSE))</f>
        <v>0.76700000000000002</v>
      </c>
      <c r="Q66">
        <f>(1+ VLOOKUP($C66,'vomcost mult'!$N$10:$R$32,5, FALSE))</f>
        <v>1.157</v>
      </c>
    </row>
    <row r="67" spans="1:17">
      <c r="A67" s="87" t="s">
        <v>229</v>
      </c>
      <c r="B67" s="87" t="s">
        <v>134</v>
      </c>
      <c r="C67" s="87" t="s">
        <v>124</v>
      </c>
      <c r="D67" s="19" t="s">
        <v>214</v>
      </c>
      <c r="E67" s="19">
        <v>1</v>
      </c>
      <c r="F67" s="19">
        <v>700</v>
      </c>
      <c r="G67" s="19">
        <f t="shared" ref="G67:G93" si="2">M67</f>
        <v>0.89</v>
      </c>
      <c r="H67" s="19">
        <v>0.01</v>
      </c>
      <c r="M67">
        <f t="shared" ref="M67:M93" si="3">ROUND(P67*Q67, 2)</f>
        <v>0.89</v>
      </c>
      <c r="P67">
        <f>(1+ VLOOKUP($B67,'vomcost mult'!$N$10:$R$32,5, FALSE))</f>
        <v>1.157</v>
      </c>
      <c r="Q67">
        <f>(1+ VLOOKUP($C67,'vomcost mult'!$N$10:$R$32,5, FALSE))</f>
        <v>0.76700000000000002</v>
      </c>
    </row>
    <row r="68" spans="1:17">
      <c r="A68" s="87" t="s">
        <v>229</v>
      </c>
      <c r="B68" s="87" t="s">
        <v>126</v>
      </c>
      <c r="C68" s="87" t="s">
        <v>129</v>
      </c>
      <c r="D68" s="19" t="s">
        <v>214</v>
      </c>
      <c r="E68" s="19">
        <v>1</v>
      </c>
      <c r="F68" s="19">
        <v>700</v>
      </c>
      <c r="G68" s="19">
        <f t="shared" si="2"/>
        <v>1.53</v>
      </c>
      <c r="H68" s="19">
        <v>0.01</v>
      </c>
      <c r="M68">
        <f t="shared" si="3"/>
        <v>1.53</v>
      </c>
      <c r="P68">
        <f>(1+ VLOOKUP($B68,'vomcost mult'!$N$10:$R$32,5, FALSE))</f>
        <v>1.18</v>
      </c>
      <c r="Q68">
        <f>(1+ VLOOKUP($C68,'vomcost mult'!$N$10:$R$32,5, FALSE))</f>
        <v>1.296</v>
      </c>
    </row>
    <row r="69" spans="1:17">
      <c r="A69" s="87" t="s">
        <v>229</v>
      </c>
      <c r="B69" s="87" t="s">
        <v>129</v>
      </c>
      <c r="C69" s="87" t="s">
        <v>126</v>
      </c>
      <c r="D69" s="19" t="s">
        <v>214</v>
      </c>
      <c r="E69" s="19">
        <v>1</v>
      </c>
      <c r="F69" s="19">
        <v>700</v>
      </c>
      <c r="G69" s="19">
        <f t="shared" si="2"/>
        <v>1.53</v>
      </c>
      <c r="H69" s="19">
        <v>0.01</v>
      </c>
      <c r="M69">
        <f t="shared" si="3"/>
        <v>1.53</v>
      </c>
      <c r="P69">
        <f>(1+ VLOOKUP($B69,'vomcost mult'!$N$10:$R$32,5, FALSE))</f>
        <v>1.296</v>
      </c>
      <c r="Q69">
        <f>(1+ VLOOKUP($C69,'vomcost mult'!$N$10:$R$32,5, FALSE))</f>
        <v>1.18</v>
      </c>
    </row>
    <row r="70" spans="1:17">
      <c r="A70" s="87" t="s">
        <v>229</v>
      </c>
      <c r="B70" s="87" t="s">
        <v>126</v>
      </c>
      <c r="C70" s="87" t="s">
        <v>135</v>
      </c>
      <c r="D70" s="19" t="s">
        <v>214</v>
      </c>
      <c r="E70" s="19">
        <v>1</v>
      </c>
      <c r="F70" s="19">
        <v>2800</v>
      </c>
      <c r="G70" s="19">
        <f t="shared" si="2"/>
        <v>1.37</v>
      </c>
      <c r="H70" s="19">
        <v>0.01</v>
      </c>
      <c r="M70">
        <f t="shared" si="3"/>
        <v>1.37</v>
      </c>
      <c r="P70">
        <f>(1+ VLOOKUP($B70,'vomcost mult'!$N$10:$R$32,5, FALSE))</f>
        <v>1.18</v>
      </c>
      <c r="Q70">
        <f>(1+ VLOOKUP($C70,'vomcost mult'!$N$10:$R$32,5, FALSE))</f>
        <v>1.165</v>
      </c>
    </row>
    <row r="71" spans="1:17">
      <c r="A71" s="87" t="s">
        <v>229</v>
      </c>
      <c r="B71" s="87" t="s">
        <v>135</v>
      </c>
      <c r="C71" s="87" t="s">
        <v>126</v>
      </c>
      <c r="D71" s="19" t="s">
        <v>214</v>
      </c>
      <c r="E71" s="19">
        <v>1</v>
      </c>
      <c r="F71" s="19">
        <v>2800</v>
      </c>
      <c r="G71" s="19">
        <f t="shared" si="2"/>
        <v>1.37</v>
      </c>
      <c r="H71" s="19">
        <v>0.01</v>
      </c>
      <c r="M71">
        <f t="shared" si="3"/>
        <v>1.37</v>
      </c>
      <c r="P71">
        <f>(1+ VLOOKUP($B71,'vomcost mult'!$N$10:$R$32,5, FALSE))</f>
        <v>1.165</v>
      </c>
      <c r="Q71">
        <f>(1+ VLOOKUP($C71,'vomcost mult'!$N$10:$R$32,5, FALSE))</f>
        <v>1.18</v>
      </c>
    </row>
    <row r="72" spans="1:17">
      <c r="A72" s="87" t="s">
        <v>229</v>
      </c>
      <c r="B72" s="87" t="s">
        <v>127</v>
      </c>
      <c r="C72" s="87" t="s">
        <v>128</v>
      </c>
      <c r="D72" s="19" t="s">
        <v>214</v>
      </c>
      <c r="E72" s="19">
        <v>1</v>
      </c>
      <c r="F72" s="19">
        <v>350</v>
      </c>
      <c r="G72" s="19">
        <f t="shared" si="2"/>
        <v>1.74</v>
      </c>
      <c r="H72" s="19">
        <v>0.01</v>
      </c>
      <c r="M72">
        <f t="shared" si="3"/>
        <v>1.74</v>
      </c>
      <c r="P72">
        <f>(1+ VLOOKUP($B72,'vomcost mult'!$N$10:$R$32,5, FALSE))</f>
        <v>1.31</v>
      </c>
      <c r="Q72">
        <f>(1+ VLOOKUP($C72,'vomcost mult'!$N$10:$R$32,5, FALSE))</f>
        <v>1.325</v>
      </c>
    </row>
    <row r="73" spans="1:17">
      <c r="A73" s="87" t="s">
        <v>229</v>
      </c>
      <c r="B73" s="87" t="s">
        <v>128</v>
      </c>
      <c r="C73" s="87" t="s">
        <v>127</v>
      </c>
      <c r="D73" s="19" t="s">
        <v>214</v>
      </c>
      <c r="E73" s="19">
        <v>1</v>
      </c>
      <c r="F73" s="19">
        <v>1300</v>
      </c>
      <c r="G73" s="19">
        <f t="shared" si="2"/>
        <v>1.74</v>
      </c>
      <c r="H73" s="19">
        <v>0.01</v>
      </c>
      <c r="M73">
        <f t="shared" si="3"/>
        <v>1.74</v>
      </c>
      <c r="P73">
        <f>(1+ VLOOKUP($B73,'vomcost mult'!$N$10:$R$32,5, FALSE))</f>
        <v>1.325</v>
      </c>
      <c r="Q73">
        <f>(1+ VLOOKUP($C73,'vomcost mult'!$N$10:$R$32,5, FALSE))</f>
        <v>1.31</v>
      </c>
    </row>
    <row r="74" spans="1:17">
      <c r="A74" s="87" t="s">
        <v>229</v>
      </c>
      <c r="B74" s="87" t="s">
        <v>127</v>
      </c>
      <c r="C74" s="87" t="s">
        <v>129</v>
      </c>
      <c r="D74" s="19" t="s">
        <v>214</v>
      </c>
      <c r="E74" s="19">
        <v>1</v>
      </c>
      <c r="F74" s="19">
        <v>800</v>
      </c>
      <c r="G74" s="19">
        <f t="shared" si="2"/>
        <v>1.7</v>
      </c>
      <c r="H74" s="19">
        <v>0.01</v>
      </c>
      <c r="M74">
        <f t="shared" si="3"/>
        <v>1.7</v>
      </c>
      <c r="P74">
        <f>(1+ VLOOKUP($B74,'vomcost mult'!$N$10:$R$32,5, FALSE))</f>
        <v>1.31</v>
      </c>
      <c r="Q74">
        <f>(1+ VLOOKUP($C74,'vomcost mult'!$N$10:$R$32,5, FALSE))</f>
        <v>1.296</v>
      </c>
    </row>
    <row r="75" spans="1:17">
      <c r="A75" s="87" t="s">
        <v>229</v>
      </c>
      <c r="B75" s="87" t="s">
        <v>129</v>
      </c>
      <c r="C75" s="87" t="s">
        <v>127</v>
      </c>
      <c r="D75" s="19" t="s">
        <v>214</v>
      </c>
      <c r="E75" s="19">
        <v>1</v>
      </c>
      <c r="F75" s="19">
        <v>600</v>
      </c>
      <c r="G75" s="19">
        <f t="shared" si="2"/>
        <v>1.7</v>
      </c>
      <c r="H75" s="19">
        <v>0.01</v>
      </c>
      <c r="M75">
        <f t="shared" si="3"/>
        <v>1.7</v>
      </c>
      <c r="P75">
        <f>(1+ VLOOKUP($B75,'vomcost mult'!$N$10:$R$32,5, FALSE))</f>
        <v>1.296</v>
      </c>
      <c r="Q75">
        <f>(1+ VLOOKUP($C75,'vomcost mult'!$N$10:$R$32,5, FALSE))</f>
        <v>1.31</v>
      </c>
    </row>
    <row r="76" spans="1:17">
      <c r="A76" s="87" t="s">
        <v>229</v>
      </c>
      <c r="B76" s="87" t="s">
        <v>127</v>
      </c>
      <c r="C76" s="87" t="s">
        <v>132</v>
      </c>
      <c r="D76" s="19" t="s">
        <v>214</v>
      </c>
      <c r="E76" s="19">
        <v>1</v>
      </c>
      <c r="F76" s="19">
        <v>600</v>
      </c>
      <c r="G76" s="19">
        <f t="shared" si="2"/>
        <v>1.54</v>
      </c>
      <c r="H76" s="19">
        <v>0.01</v>
      </c>
      <c r="M76">
        <f t="shared" si="3"/>
        <v>1.54</v>
      </c>
      <c r="P76">
        <f>(1+ VLOOKUP($B76,'vomcost mult'!$N$10:$R$32,5, FALSE))</f>
        <v>1.31</v>
      </c>
      <c r="Q76">
        <f>(1+ VLOOKUP($C76,'vomcost mult'!$N$10:$R$32,5, FALSE))</f>
        <v>1.173</v>
      </c>
    </row>
    <row r="77" spans="1:17">
      <c r="A77" s="87" t="s">
        <v>229</v>
      </c>
      <c r="B77" s="87" t="s">
        <v>132</v>
      </c>
      <c r="C77" s="87" t="s">
        <v>127</v>
      </c>
      <c r="D77" s="19" t="s">
        <v>214</v>
      </c>
      <c r="E77" s="19">
        <v>1</v>
      </c>
      <c r="F77" s="19">
        <v>1000</v>
      </c>
      <c r="G77" s="19">
        <f t="shared" si="2"/>
        <v>1.54</v>
      </c>
      <c r="H77" s="19">
        <v>0.01</v>
      </c>
      <c r="M77">
        <f t="shared" si="3"/>
        <v>1.54</v>
      </c>
      <c r="P77">
        <f>(1+ VLOOKUP($B77,'vomcost mult'!$N$10:$R$32,5, FALSE))</f>
        <v>1.173</v>
      </c>
      <c r="Q77">
        <f>(1+ VLOOKUP($C77,'vomcost mult'!$N$10:$R$32,5, FALSE))</f>
        <v>1.31</v>
      </c>
    </row>
    <row r="78" spans="1:17">
      <c r="A78" s="87" t="s">
        <v>229</v>
      </c>
      <c r="B78" s="87" t="s">
        <v>128</v>
      </c>
      <c r="C78" s="87" t="s">
        <v>131</v>
      </c>
      <c r="D78" s="19" t="s">
        <v>214</v>
      </c>
      <c r="E78" s="19">
        <v>1</v>
      </c>
      <c r="F78" s="19">
        <v>700</v>
      </c>
      <c r="G78" s="19">
        <f t="shared" si="2"/>
        <v>1.56</v>
      </c>
      <c r="H78" s="19">
        <v>0.01</v>
      </c>
      <c r="M78">
        <f t="shared" si="3"/>
        <v>1.56</v>
      </c>
      <c r="P78">
        <f>(1+ VLOOKUP($B78,'vomcost mult'!$N$10:$R$32,5, FALSE))</f>
        <v>1.325</v>
      </c>
      <c r="Q78">
        <f>(1+ VLOOKUP($C78,'vomcost mult'!$N$10:$R$32,5, FALSE))</f>
        <v>1.181</v>
      </c>
    </row>
    <row r="79" spans="1:17">
      <c r="A79" s="87" t="s">
        <v>229</v>
      </c>
      <c r="B79" s="87" t="s">
        <v>131</v>
      </c>
      <c r="C79" s="87" t="s">
        <v>128</v>
      </c>
      <c r="D79" s="19" t="s">
        <v>214</v>
      </c>
      <c r="E79" s="19">
        <v>1</v>
      </c>
      <c r="F79" s="19">
        <v>600</v>
      </c>
      <c r="G79" s="19">
        <f t="shared" si="2"/>
        <v>1.56</v>
      </c>
      <c r="H79" s="19">
        <v>0.01</v>
      </c>
      <c r="M79">
        <f t="shared" si="3"/>
        <v>1.56</v>
      </c>
      <c r="P79">
        <f>(1+ VLOOKUP($B79,'vomcost mult'!$N$10:$R$32,5, FALSE))</f>
        <v>1.181</v>
      </c>
      <c r="Q79">
        <f>(1+ VLOOKUP($C79,'vomcost mult'!$N$10:$R$32,5, FALSE))</f>
        <v>1.325</v>
      </c>
    </row>
    <row r="80" spans="1:17">
      <c r="A80" s="87" t="s">
        <v>229</v>
      </c>
      <c r="B80" s="87" t="s">
        <v>128</v>
      </c>
      <c r="C80" s="87" t="s">
        <v>132</v>
      </c>
      <c r="D80" s="19" t="s">
        <v>214</v>
      </c>
      <c r="E80" s="19">
        <v>1</v>
      </c>
      <c r="F80" s="19">
        <v>250</v>
      </c>
      <c r="G80" s="19">
        <f t="shared" si="2"/>
        <v>1.55</v>
      </c>
      <c r="H80" s="19">
        <v>0.01</v>
      </c>
      <c r="M80">
        <f t="shared" si="3"/>
        <v>1.55</v>
      </c>
      <c r="P80">
        <f>(1+ VLOOKUP($B80,'vomcost mult'!$N$10:$R$32,5, FALSE))</f>
        <v>1.325</v>
      </c>
      <c r="Q80">
        <f>(1+ VLOOKUP($C80,'vomcost mult'!$N$10:$R$32,5, FALSE))</f>
        <v>1.173</v>
      </c>
    </row>
    <row r="81" spans="1:17">
      <c r="A81" s="87" t="s">
        <v>229</v>
      </c>
      <c r="B81" s="87" t="s">
        <v>132</v>
      </c>
      <c r="C81" s="87" t="s">
        <v>128</v>
      </c>
      <c r="D81" s="19" t="s">
        <v>214</v>
      </c>
      <c r="E81" s="19">
        <v>1</v>
      </c>
      <c r="F81" s="19">
        <v>300</v>
      </c>
      <c r="G81" s="19">
        <f t="shared" si="2"/>
        <v>1.55</v>
      </c>
      <c r="H81" s="19">
        <v>0.01</v>
      </c>
      <c r="M81">
        <f t="shared" si="3"/>
        <v>1.55</v>
      </c>
      <c r="P81">
        <f>(1+ VLOOKUP($B81,'vomcost mult'!$N$10:$R$32,5, FALSE))</f>
        <v>1.173</v>
      </c>
      <c r="Q81">
        <f>(1+ VLOOKUP($C81,'vomcost mult'!$N$10:$R$32,5, FALSE))</f>
        <v>1.325</v>
      </c>
    </row>
    <row r="82" spans="1:17">
      <c r="A82" s="87" t="s">
        <v>229</v>
      </c>
      <c r="B82" s="87" t="s">
        <v>129</v>
      </c>
      <c r="C82" s="87" t="s">
        <v>133</v>
      </c>
      <c r="D82" s="19" t="s">
        <v>214</v>
      </c>
      <c r="E82" s="19">
        <v>1</v>
      </c>
      <c r="F82" s="19">
        <v>2145</v>
      </c>
      <c r="G82" s="19">
        <f t="shared" si="2"/>
        <v>1.51</v>
      </c>
      <c r="H82" s="19">
        <v>0.01</v>
      </c>
      <c r="M82">
        <f t="shared" si="3"/>
        <v>1.51</v>
      </c>
      <c r="P82">
        <f>(1+ VLOOKUP($B82,'vomcost mult'!$N$10:$R$32,5, FALSE))</f>
        <v>1.296</v>
      </c>
      <c r="Q82">
        <f>(1+ VLOOKUP($C82,'vomcost mult'!$N$10:$R$32,5, FALSE))</f>
        <v>1.165</v>
      </c>
    </row>
    <row r="83" spans="1:17">
      <c r="A83" s="87" t="s">
        <v>229</v>
      </c>
      <c r="B83" s="87" t="s">
        <v>133</v>
      </c>
      <c r="C83" s="87" t="s">
        <v>129</v>
      </c>
      <c r="D83" s="19" t="s">
        <v>214</v>
      </c>
      <c r="E83" s="19">
        <v>1</v>
      </c>
      <c r="F83" s="19">
        <v>2095</v>
      </c>
      <c r="G83" s="19">
        <f t="shared" si="2"/>
        <v>1.51</v>
      </c>
      <c r="H83" s="19">
        <v>0.01</v>
      </c>
      <c r="M83">
        <f t="shared" si="3"/>
        <v>1.51</v>
      </c>
      <c r="P83">
        <f>(1+ VLOOKUP($B83,'vomcost mult'!$N$10:$R$32,5, FALSE))</f>
        <v>1.165</v>
      </c>
      <c r="Q83">
        <f>(1+ VLOOKUP($C83,'vomcost mult'!$N$10:$R$32,5, FALSE))</f>
        <v>1.296</v>
      </c>
    </row>
    <row r="84" spans="1:17">
      <c r="A84" s="87" t="s">
        <v>229</v>
      </c>
      <c r="B84" s="87" t="s">
        <v>129</v>
      </c>
      <c r="C84" s="87" t="s">
        <v>135</v>
      </c>
      <c r="D84" s="19" t="s">
        <v>214</v>
      </c>
      <c r="E84" s="19">
        <v>1</v>
      </c>
      <c r="F84" s="19">
        <v>1400</v>
      </c>
      <c r="G84" s="19">
        <f t="shared" si="2"/>
        <v>1.51</v>
      </c>
      <c r="H84" s="19">
        <v>0.01</v>
      </c>
      <c r="M84">
        <f t="shared" si="3"/>
        <v>1.51</v>
      </c>
      <c r="P84">
        <f>(1+ VLOOKUP($B84,'vomcost mult'!$N$10:$R$32,5, FALSE))</f>
        <v>1.296</v>
      </c>
      <c r="Q84">
        <f>(1+ VLOOKUP($C84,'vomcost mult'!$N$10:$R$32,5, FALSE))</f>
        <v>1.165</v>
      </c>
    </row>
    <row r="85" spans="1:17">
      <c r="A85" s="87" t="s">
        <v>229</v>
      </c>
      <c r="B85" s="87" t="s">
        <v>135</v>
      </c>
      <c r="C85" s="87" t="s">
        <v>129</v>
      </c>
      <c r="D85" s="19" t="s">
        <v>214</v>
      </c>
      <c r="E85" s="19">
        <v>1</v>
      </c>
      <c r="F85" s="19">
        <v>1400</v>
      </c>
      <c r="G85" s="19">
        <f t="shared" si="2"/>
        <v>1.51</v>
      </c>
      <c r="H85" s="19">
        <v>0.01</v>
      </c>
      <c r="M85">
        <f t="shared" si="3"/>
        <v>1.51</v>
      </c>
      <c r="P85">
        <f>(1+ VLOOKUP($B85,'vomcost mult'!$N$10:$R$32,5, FALSE))</f>
        <v>1.165</v>
      </c>
      <c r="Q85">
        <f>(1+ VLOOKUP($C85,'vomcost mult'!$N$10:$R$32,5, FALSE))</f>
        <v>1.296</v>
      </c>
    </row>
    <row r="86" spans="1:17">
      <c r="A86" s="87" t="s">
        <v>229</v>
      </c>
      <c r="B86" s="87" t="s">
        <v>130</v>
      </c>
      <c r="C86" s="87" t="s">
        <v>134</v>
      </c>
      <c r="D86" s="19" t="s">
        <v>214</v>
      </c>
      <c r="E86" s="19">
        <v>1</v>
      </c>
      <c r="F86" s="19">
        <v>600</v>
      </c>
      <c r="G86" s="19">
        <f t="shared" si="2"/>
        <v>0.8</v>
      </c>
      <c r="H86" s="19">
        <v>0.01</v>
      </c>
      <c r="M86">
        <f t="shared" si="3"/>
        <v>0.8</v>
      </c>
      <c r="P86">
        <f>(1+ VLOOKUP($B86,'vomcost mult'!$N$10:$R$32,5, FALSE))</f>
        <v>0.69</v>
      </c>
      <c r="Q86">
        <f>(1+ VLOOKUP($C86,'vomcost mult'!$N$10:$R$32,5, FALSE))</f>
        <v>1.157</v>
      </c>
    </row>
    <row r="87" spans="1:17">
      <c r="A87" s="87" t="s">
        <v>229</v>
      </c>
      <c r="B87" s="87" t="s">
        <v>134</v>
      </c>
      <c r="C87" s="87" t="s">
        <v>130</v>
      </c>
      <c r="D87" s="19" t="s">
        <v>214</v>
      </c>
      <c r="E87" s="19">
        <v>1</v>
      </c>
      <c r="F87" s="19">
        <v>600</v>
      </c>
      <c r="G87" s="19">
        <f t="shared" si="2"/>
        <v>0.8</v>
      </c>
      <c r="H87" s="19">
        <v>0.01</v>
      </c>
      <c r="M87">
        <f t="shared" si="3"/>
        <v>0.8</v>
      </c>
      <c r="P87">
        <f>(1+ VLOOKUP($B87,'vomcost mult'!$N$10:$R$32,5, FALSE))</f>
        <v>1.157</v>
      </c>
      <c r="Q87">
        <f>(1+ VLOOKUP($C87,'vomcost mult'!$N$10:$R$32,5, FALSE))</f>
        <v>0.69</v>
      </c>
    </row>
    <row r="88" spans="1:17">
      <c r="A88" s="87" t="s">
        <v>229</v>
      </c>
      <c r="B88" s="87" t="s">
        <v>131</v>
      </c>
      <c r="C88" s="87" t="s">
        <v>132</v>
      </c>
      <c r="D88" s="19" t="s">
        <v>214</v>
      </c>
      <c r="E88" s="19">
        <v>1</v>
      </c>
      <c r="F88" s="19">
        <v>3300</v>
      </c>
      <c r="G88" s="19">
        <f t="shared" si="2"/>
        <v>1.39</v>
      </c>
      <c r="H88" s="19">
        <v>0.01</v>
      </c>
      <c r="M88">
        <f t="shared" si="3"/>
        <v>1.39</v>
      </c>
      <c r="P88">
        <f>(1+ VLOOKUP($B88,'vomcost mult'!$N$10:$R$32,5, FALSE))</f>
        <v>1.181</v>
      </c>
      <c r="Q88">
        <f>(1+ VLOOKUP($C88,'vomcost mult'!$N$10:$R$32,5, FALSE))</f>
        <v>1.173</v>
      </c>
    </row>
    <row r="89" spans="1:17">
      <c r="A89" s="87" t="s">
        <v>229</v>
      </c>
      <c r="B89" s="87" t="s">
        <v>132</v>
      </c>
      <c r="C89" s="87" t="s">
        <v>131</v>
      </c>
      <c r="D89" s="19" t="s">
        <v>214</v>
      </c>
      <c r="E89" s="19">
        <v>1</v>
      </c>
      <c r="F89" s="19">
        <v>3300</v>
      </c>
      <c r="G89" s="19">
        <f t="shared" si="2"/>
        <v>1.39</v>
      </c>
      <c r="H89" s="19">
        <v>0.01</v>
      </c>
      <c r="M89">
        <f t="shared" si="3"/>
        <v>1.39</v>
      </c>
      <c r="P89">
        <f>(1+ VLOOKUP($B89,'vomcost mult'!$N$10:$R$32,5, FALSE))</f>
        <v>1.173</v>
      </c>
      <c r="Q89">
        <f>(1+ VLOOKUP($C89,'vomcost mult'!$N$10:$R$32,5, FALSE))</f>
        <v>1.181</v>
      </c>
    </row>
    <row r="90" spans="1:17">
      <c r="A90" s="87" t="s">
        <v>229</v>
      </c>
      <c r="B90" s="87" t="s">
        <v>132</v>
      </c>
      <c r="C90" s="87" t="s">
        <v>133</v>
      </c>
      <c r="D90" s="19" t="s">
        <v>214</v>
      </c>
      <c r="E90" s="19">
        <v>1</v>
      </c>
      <c r="F90" s="19">
        <v>7300</v>
      </c>
      <c r="G90" s="19">
        <f t="shared" si="2"/>
        <v>1.37</v>
      </c>
      <c r="H90" s="19">
        <v>0.01</v>
      </c>
      <c r="M90">
        <f t="shared" si="3"/>
        <v>1.37</v>
      </c>
      <c r="P90">
        <f>(1+ VLOOKUP($B90,'vomcost mult'!$N$10:$R$32,5, FALSE))</f>
        <v>1.173</v>
      </c>
      <c r="Q90">
        <f>(1+ VLOOKUP($C90,'vomcost mult'!$N$10:$R$32,5, FALSE))</f>
        <v>1.165</v>
      </c>
    </row>
    <row r="91" spans="1:17">
      <c r="A91" s="87" t="s">
        <v>229</v>
      </c>
      <c r="B91" s="87" t="s">
        <v>133</v>
      </c>
      <c r="C91" s="87" t="s">
        <v>132</v>
      </c>
      <c r="D91" s="19" t="s">
        <v>214</v>
      </c>
      <c r="E91" s="19">
        <v>1</v>
      </c>
      <c r="F91" s="19">
        <v>7300</v>
      </c>
      <c r="G91" s="19">
        <f t="shared" si="2"/>
        <v>1.37</v>
      </c>
      <c r="H91" s="19">
        <v>0.01</v>
      </c>
      <c r="M91">
        <f t="shared" si="3"/>
        <v>1.37</v>
      </c>
      <c r="P91">
        <f>(1+ VLOOKUP($B91,'vomcost mult'!$N$10:$R$32,5, FALSE))</f>
        <v>1.165</v>
      </c>
      <c r="Q91">
        <f>(1+ VLOOKUP($C91,'vomcost mult'!$N$10:$R$32,5, FALSE))</f>
        <v>1.173</v>
      </c>
    </row>
    <row r="92" spans="1:17">
      <c r="A92" s="87" t="s">
        <v>229</v>
      </c>
      <c r="B92" s="87" t="s">
        <v>133</v>
      </c>
      <c r="C92" s="87" t="s">
        <v>134</v>
      </c>
      <c r="D92" s="19" t="s">
        <v>214</v>
      </c>
      <c r="E92" s="19">
        <v>1</v>
      </c>
      <c r="F92" s="19">
        <v>6200</v>
      </c>
      <c r="G92" s="19">
        <f t="shared" si="2"/>
        <v>1.35</v>
      </c>
      <c r="H92" s="19">
        <v>0.01</v>
      </c>
      <c r="M92">
        <f t="shared" si="3"/>
        <v>1.35</v>
      </c>
      <c r="P92">
        <f>(1+ VLOOKUP($B92,'vomcost mult'!$N$10:$R$32,5, FALSE))</f>
        <v>1.165</v>
      </c>
      <c r="Q92">
        <f>(1+ VLOOKUP($C92,'vomcost mult'!$N$10:$R$32,5, FALSE))</f>
        <v>1.157</v>
      </c>
    </row>
    <row r="93" spans="1:17">
      <c r="A93" s="87" t="s">
        <v>229</v>
      </c>
      <c r="B93" s="87" t="s">
        <v>134</v>
      </c>
      <c r="C93" s="87" t="s">
        <v>133</v>
      </c>
      <c r="D93" s="19" t="s">
        <v>214</v>
      </c>
      <c r="E93" s="19">
        <v>1</v>
      </c>
      <c r="F93" s="19">
        <v>2800</v>
      </c>
      <c r="G93" s="19">
        <f t="shared" si="2"/>
        <v>1.35</v>
      </c>
      <c r="H93" s="19">
        <v>0.01</v>
      </c>
      <c r="M93">
        <f t="shared" si="3"/>
        <v>1.35</v>
      </c>
      <c r="P93">
        <f>(1+ VLOOKUP($B93,'vomcost mult'!$N$10:$R$32,5, FALSE))</f>
        <v>1.157</v>
      </c>
      <c r="Q93">
        <f>(1+ VLOOKUP($C93,'vomcost mult'!$N$10:$R$32,5, FALSE))</f>
        <v>1.165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J18" sqref="J18"/>
    </sheetView>
  </sheetViews>
  <sheetFormatPr defaultRowHeight="15"/>
  <cols>
    <col min="1" max="1" width="14.140625" customWidth="1"/>
  </cols>
  <sheetData>
    <row r="1" spans="1:5">
      <c r="A1" s="67" t="s">
        <v>210</v>
      </c>
      <c r="B1" s="67" t="s">
        <v>211</v>
      </c>
      <c r="C1" s="67" t="s">
        <v>267</v>
      </c>
      <c r="D1" s="67" t="s">
        <v>268</v>
      </c>
      <c r="E1" s="67" t="s">
        <v>269</v>
      </c>
    </row>
    <row r="2" spans="1:5">
      <c r="A2" s="68" t="s">
        <v>214</v>
      </c>
      <c r="B2">
        <v>1</v>
      </c>
      <c r="C2" s="69" t="s">
        <v>236</v>
      </c>
      <c r="D2" t="s">
        <v>231</v>
      </c>
      <c r="E2" s="69">
        <v>95</v>
      </c>
    </row>
    <row r="3" spans="1:5">
      <c r="A3" s="68"/>
      <c r="C3" s="69"/>
      <c r="E3" s="6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G11"/>
  <sheetViews>
    <sheetView workbookViewId="0">
      <selection activeCell="K14" sqref="K14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7" width="18.28515625" bestFit="1" customWidth="1"/>
  </cols>
  <sheetData>
    <row r="1" spans="1:7">
      <c r="A1" s="67" t="s">
        <v>210</v>
      </c>
      <c r="B1" s="67" t="s">
        <v>211</v>
      </c>
      <c r="C1" s="67" t="s">
        <v>264</v>
      </c>
      <c r="D1" s="67" t="s">
        <v>3</v>
      </c>
      <c r="E1" s="70" t="s">
        <v>269</v>
      </c>
      <c r="F1" s="70" t="s">
        <v>270</v>
      </c>
      <c r="G1" s="70" t="s">
        <v>324</v>
      </c>
    </row>
    <row r="2" spans="1:7">
      <c r="A2" s="68" t="s">
        <v>214</v>
      </c>
      <c r="B2">
        <v>1</v>
      </c>
      <c r="C2" s="69" t="s">
        <v>232</v>
      </c>
      <c r="D2" s="69" t="s">
        <v>214</v>
      </c>
      <c r="E2" s="71">
        <v>27</v>
      </c>
      <c r="F2" s="19">
        <f>IFERROR(VLOOKUP($C2, [2]data_fuelEmissions!$D$4:$F$14,3,FALSE), 0)</f>
        <v>0.34200000000000003</v>
      </c>
      <c r="G2" s="19"/>
    </row>
    <row r="3" spans="1:7">
      <c r="A3" s="68" t="s">
        <v>214</v>
      </c>
      <c r="B3">
        <v>1</v>
      </c>
      <c r="C3" s="69" t="s">
        <v>259</v>
      </c>
      <c r="D3" s="69" t="s">
        <v>214</v>
      </c>
      <c r="E3" s="71">
        <v>2.5</v>
      </c>
      <c r="F3" s="19">
        <f>IFERROR(VLOOKUP($C3, [2]data_fuelEmissions!$D$4:$F$14,3,FALSE), 0)</f>
        <v>0</v>
      </c>
      <c r="G3" s="19"/>
    </row>
    <row r="4" spans="1:7">
      <c r="A4" s="68" t="s">
        <v>214</v>
      </c>
      <c r="B4">
        <v>1</v>
      </c>
      <c r="C4" s="69" t="s">
        <v>235</v>
      </c>
      <c r="D4" s="69" t="s">
        <v>214</v>
      </c>
      <c r="E4" s="71">
        <v>55</v>
      </c>
      <c r="F4" s="19">
        <f>IFERROR(VLOOKUP($C4, [2]data_fuelEmissions!$D$4:$F$14,3,FALSE), 0)</f>
        <v>0.19800000000000001</v>
      </c>
      <c r="G4" s="19"/>
    </row>
    <row r="5" spans="1:7">
      <c r="A5" s="68" t="s">
        <v>214</v>
      </c>
      <c r="B5">
        <v>1</v>
      </c>
      <c r="C5" s="69" t="s">
        <v>252</v>
      </c>
      <c r="D5" s="69" t="s">
        <v>214</v>
      </c>
      <c r="E5" s="71">
        <v>46</v>
      </c>
      <c r="F5" s="19">
        <f>IFERROR(VLOOKUP($C5, [2]data_fuelEmissions!$D$4:$F$14,3,FALSE), 0)</f>
        <v>0.28079999999999999</v>
      </c>
      <c r="G5" s="19"/>
    </row>
    <row r="6" spans="1:7">
      <c r="A6" s="68" t="s">
        <v>214</v>
      </c>
      <c r="B6">
        <v>1</v>
      </c>
      <c r="C6" s="69" t="s">
        <v>254</v>
      </c>
      <c r="D6" s="69" t="s">
        <v>214</v>
      </c>
      <c r="E6" s="71">
        <v>65</v>
      </c>
      <c r="F6" s="19">
        <f>IFERROR(VLOOKUP($C6, [2]data_fuelEmissions!$D$4:$F$14,3,FALSE), 0)</f>
        <v>0.25559999999999999</v>
      </c>
      <c r="G6" s="19"/>
    </row>
    <row r="7" spans="1:7">
      <c r="A7" s="68" t="s">
        <v>214</v>
      </c>
      <c r="B7">
        <v>1</v>
      </c>
      <c r="C7" s="69" t="s">
        <v>255</v>
      </c>
      <c r="D7" s="69" t="s">
        <v>214</v>
      </c>
      <c r="E7" s="72">
        <v>10</v>
      </c>
      <c r="F7" s="19">
        <f>IFERROR(VLOOKUP($C7, [2]data_fuelEmissions!$D$4:$F$14,3,FALSE), 0)</f>
        <v>0.37080000000000002</v>
      </c>
      <c r="G7" s="19"/>
    </row>
    <row r="8" spans="1:7">
      <c r="A8" s="68" t="s">
        <v>214</v>
      </c>
      <c r="B8">
        <v>1</v>
      </c>
      <c r="C8" s="69" t="s">
        <v>230</v>
      </c>
      <c r="D8" s="69" t="s">
        <v>214</v>
      </c>
      <c r="E8" s="71">
        <v>40</v>
      </c>
      <c r="F8" s="19">
        <f>IFERROR(VLOOKUP($C8, [2]data_fuelEmissions!$D$4:$F$14,3,FALSE), 0)</f>
        <v>0</v>
      </c>
      <c r="G8" s="19">
        <v>0.39</v>
      </c>
    </row>
    <row r="9" spans="1:7">
      <c r="A9" s="68" t="s">
        <v>214</v>
      </c>
      <c r="B9">
        <v>1</v>
      </c>
      <c r="C9" s="69" t="s">
        <v>271</v>
      </c>
      <c r="D9" s="69" t="s">
        <v>214</v>
      </c>
      <c r="E9" s="19">
        <v>1</v>
      </c>
      <c r="F9" s="19">
        <f>IFERROR(VLOOKUP($C9, [2]data_fuelEmissions!$D$4:$F$14,3,FALSE), 0)</f>
        <v>0</v>
      </c>
      <c r="G9" s="19">
        <v>0.39</v>
      </c>
    </row>
    <row r="10" spans="1:7">
      <c r="A10" s="68" t="s">
        <v>214</v>
      </c>
      <c r="B10">
        <v>1</v>
      </c>
      <c r="C10" s="69" t="s">
        <v>263</v>
      </c>
      <c r="D10" s="69" t="s">
        <v>214</v>
      </c>
      <c r="E10" s="19">
        <v>1</v>
      </c>
      <c r="F10" s="19">
        <f>IFERROR(VLOOKUP($C10, [2]data_fuelEmissions!$D$4:$F$14,3,FALSE), 0)</f>
        <v>0.14399999999999999</v>
      </c>
      <c r="G10" s="19">
        <f>IFERROR(VLOOKUP($C10, [2]data_fuelEmissions!$D$4:$F$14,3,FALSE), 0)</f>
        <v>0.14399999999999999</v>
      </c>
    </row>
    <row r="11" spans="1:7">
      <c r="A11" s="68" t="s">
        <v>214</v>
      </c>
      <c r="B11">
        <v>1</v>
      </c>
      <c r="C11" t="s">
        <v>260</v>
      </c>
      <c r="D11" t="s">
        <v>214</v>
      </c>
      <c r="E11" s="19">
        <v>10</v>
      </c>
      <c r="F11" s="19">
        <f>IFERROR(VLOOKUP($C11, [2]data_fuelEmissions!$D$4:$F$14,3,FALSE), 0)</f>
        <v>0.41399999999999998</v>
      </c>
      <c r="G11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vomcost mult</vt:lpstr>
      <vt:lpstr>VRE-NT2030</vt:lpstr>
      <vt:lpstr>wind</vt:lpstr>
      <vt:lpstr>onshore</vt:lpstr>
      <vt:lpstr>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unitdata_nuclearThermal</vt:lpstr>
      <vt:lpstr>unitdata_demandRed</vt:lpstr>
      <vt:lpstr>transferdata</vt:lpstr>
      <vt:lpstr>emissiondata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2026-04-15T10:55:27Z</dcterms:modified>
</cp:coreProperties>
</file>